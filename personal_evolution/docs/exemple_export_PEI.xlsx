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ese" sheetId="1" state="visible" r:id="rId3"/>
    <sheet name="Quotidien" sheetId="2" state="visible" r:id="rId4"/>
    <sheet name="Hebdomadaire" sheetId="3" state="visible" r:id="rId5"/>
    <sheet name="Mensuel" sheetId="4" state="visible" r:id="rId6"/>
    <sheet name="Intentions" sheetId="5" state="visible" r:id="rId7"/>
    <sheet name="Activites" sheetId="6" state="visible" r:id="rId8"/>
    <sheet name="Reflexions" sheetId="7" state="visible" r:id="rId9"/>
    <sheet name="Calibration" sheetId="8" state="visible" r:id="rId10"/>
    <sheet name="Abandons" sheetId="9" state="visible" r:id="rId11"/>
    <sheet name="Objectifs" sheetId="10" state="visible" r:id="rId12"/>
    <sheet name="Competences" sheetId="11" state="visible" r:id="rId13"/>
    <sheet name="Evaluations" sheetId="12" state="visible" r:id="rId14"/>
    <sheet name="Analyses" sheetId="13" state="visible" r:id="rId15"/>
    <sheet name="Decisions" sheetId="14" state="visible" r:id="rId16"/>
    <sheet name="Experiences" sheetId="15" state="visible" r:id="rId17"/>
    <sheet name="Relations" sheetId="16" state="visible" r:id="rId18"/>
    <sheet name="Medias" sheetId="17" state="visible" r:id="rId19"/>
  </sheets>
  <definedNames>
    <definedName function="false" hidden="true" localSheetId="8" name="_xlnm._FilterDatabase" vbProcedure="false">Abandons!$A$4:$F$17</definedName>
    <definedName function="false" hidden="true" localSheetId="5" name="_xlnm._FilterDatabase" vbProcedure="false">Activites!$A$1:$K$189</definedName>
    <definedName function="false" hidden="true" localSheetId="7" name="_xlnm._FilterDatabase" vbProcedure="false">Calibration!$A$4:$G$17</definedName>
    <definedName function="false" hidden="true" localSheetId="10" name="_xlnm._FilterDatabase" vbProcedure="false">Competences!$A$4:$I$7</definedName>
    <definedName function="false" hidden="true" localSheetId="13" name="_xlnm._FilterDatabase" vbProcedure="false">Decisions!$A$1:$K$3</definedName>
    <definedName function="false" hidden="true" localSheetId="11" name="_xlnm._FilterDatabase" vbProcedure="false">Evaluations!$A$1:$G$16</definedName>
    <definedName function="false" hidden="true" localSheetId="14" name="_xlnm._FilterDatabase" vbProcedure="false">Experiences!$A$1:$I$2</definedName>
    <definedName function="false" hidden="true" localSheetId="2" name="_xlnm._FilterDatabase" vbProcedure="false">Hebdomadaire!$A$1:$T$14</definedName>
    <definedName function="false" hidden="true" localSheetId="4" name="_xlnm._FilterDatabase" vbProcedure="false">Intentions!$A$1:$N$344</definedName>
    <definedName function="false" hidden="true" localSheetId="16" name="_xlnm._FilterDatabase" vbProcedure="false">Medias!$A$1:$H$2</definedName>
    <definedName function="false" hidden="true" localSheetId="3" name="_xlnm._FilterDatabase" vbProcedure="false">Mensuel!$A$1:$T$5</definedName>
    <definedName function="false" hidden="true" localSheetId="9" name="_xlnm._FilterDatabase" vbProcedure="false">Objectifs!$A$4:$J$10</definedName>
    <definedName function="false" hidden="true" localSheetId="1" name="_xlnm._FilterDatabase" vbProcedure="false">Quotidien!$A$1:$AA$91</definedName>
    <definedName function="false" hidden="true" localSheetId="6" name="_xlnm._FilterDatabase" vbProcedure="false">Reflexions!$A$1:$D$57</definedName>
    <definedName function="false" hidden="true" localSheetId="15" name="_xlnm._FilterDatabase" vbProcedure="false">Relations!$A$1:$G$3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Réalisé = 1, Partiel = 0,5, Non réalisé, Abandonné ou Reporté = 0, Prévu = non évalué (vide).</t>
        </r>
      </text>
    </comment>
  </commentList>
</comments>
</file>

<file path=xl/sharedStrings.xml><?xml version="1.0" encoding="utf-8"?>
<sst xmlns="http://schemas.openxmlformats.org/spreadsheetml/2006/main" count="3618" uniqueCount="346">
  <si>
    <t xml:space="preserve">Personal Evolution Intelligence</t>
  </si>
  <si>
    <t xml:space="preserve">Export du 10/10/2026 à 03:21, période du 13/07/2026 au 10/10/2026</t>
  </si>
  <si>
    <t xml:space="preserve">Indicateurs clés</t>
  </si>
  <si>
    <t xml:space="preserve">Jours de la période</t>
  </si>
  <si>
    <t xml:space="preserve">Jours renseignés</t>
  </si>
  <si>
    <t xml:space="preserve">Régularité</t>
  </si>
  <si>
    <t xml:space="preserve">Intentions fixées</t>
  </si>
  <si>
    <t xml:space="preserve">Intentions évaluées</t>
  </si>
  <si>
    <t xml:space="preserve">Intentions réalisées (totalement ou en partie)</t>
  </si>
  <si>
    <t xml:space="preserve">Taux de réalisation</t>
  </si>
  <si>
    <t xml:space="preserve">Réalisé = 1, Partiel = 0,5, autres statuts = 0</t>
  </si>
  <si>
    <t xml:space="preserve">Temps total suivi (heures)</t>
  </si>
  <si>
    <t xml:space="preserve">Temps moyen suivi par jour renseigné (minutes)</t>
  </si>
  <si>
    <t xml:space="preserve">Écart moyen entre temps prévu et temps réel (minutes)</t>
  </si>
  <si>
    <t xml:space="preserve">Sommeil moyen (heures)</t>
  </si>
  <si>
    <t xml:space="preserve">Énergie moyenne (sur 5)</t>
  </si>
  <si>
    <t xml:space="preserve">Humeur moyenne (sur 5)</t>
  </si>
  <si>
    <t xml:space="preserve">Réflexions écrites</t>
  </si>
  <si>
    <t xml:space="preserve">Plus grand nombre d'heures en une semaine</t>
  </si>
  <si>
    <t xml:space="preserve">Par dimension de vie</t>
  </si>
  <si>
    <t xml:space="preserve">Dimension</t>
  </si>
  <si>
    <t xml:space="preserve">Heures</t>
  </si>
  <si>
    <t xml:space="preserve">Intentions</t>
  </si>
  <si>
    <t xml:space="preserve">Part du temps</t>
  </si>
  <si>
    <t xml:space="preserve">Spirituel</t>
  </si>
  <si>
    <t xml:space="preserve">Physique</t>
  </si>
  <si>
    <t xml:space="preserve">Études</t>
  </si>
  <si>
    <t xml:space="preserve">Professionnel</t>
  </si>
  <si>
    <t xml:space="preserve">Personnel</t>
  </si>
  <si>
    <t xml:space="preserve">Relationnel</t>
  </si>
  <si>
    <t xml:space="preserve">Loisirs et créativité</t>
  </si>
  <si>
    <t xml:space="preserve">Contenu du classeur</t>
  </si>
  <si>
    <t xml:space="preserve">Quotidien</t>
  </si>
  <si>
    <t xml:space="preserve">Une ligne par jour : indicateurs déclarés et totaux calculés par formules.</t>
  </si>
  <si>
    <t xml:space="preserve">Hebdomadaire, Mensuel</t>
  </si>
  <si>
    <t xml:space="preserve">Agrégats par semaine et par mois (formules).</t>
  </si>
  <si>
    <t xml:space="preserve">Intentions, Activites, Reflexions</t>
  </si>
  <si>
    <t xml:space="preserve">Données brutes de la période. Modifiables : les indicateurs se recalculent.</t>
  </si>
  <si>
    <t xml:space="preserve">Calibration, Abandons</t>
  </si>
  <si>
    <t xml:space="preserve">Temps prévu contre temps réel, objectifs non réalisés et raisons (formules).</t>
  </si>
  <si>
    <t xml:space="preserve">Objectifs, Competences, Evaluations</t>
  </si>
  <si>
    <t xml:space="preserve">Progression des objectifs et des compétences.</t>
  </si>
  <si>
    <t xml:space="preserve">Analyses</t>
  </si>
  <si>
    <t xml:space="preserve">Tendances, associations, jours atypiques, recommandations (valeurs calculées par PEI).</t>
  </si>
  <si>
    <t xml:space="preserve">Decisions, Experiences, Relations, Medias</t>
  </si>
  <si>
    <t xml:space="preserve">Journal des décisions, expériences, relations et fichiers.</t>
  </si>
  <si>
    <t xml:space="preserve">Date</t>
  </si>
  <si>
    <t xml:space="preserve">Jour</t>
  </si>
  <si>
    <t xml:space="preserve">Renseigné</t>
  </si>
  <si>
    <t xml:space="preserve">Évaluées</t>
  </si>
  <si>
    <t xml:space="preserve">Réalisées</t>
  </si>
  <si>
    <t xml:space="preserve">Temps prévu (min)</t>
  </si>
  <si>
    <t xml:space="preserve">Temps réalisé (min)</t>
  </si>
  <si>
    <t xml:space="preserve">Spirituel (min)</t>
  </si>
  <si>
    <t xml:space="preserve">Physique (min)</t>
  </si>
  <si>
    <t xml:space="preserve">Études (min)</t>
  </si>
  <si>
    <t xml:space="preserve">Professionnel (min)</t>
  </si>
  <si>
    <t xml:space="preserve">Personnel (min)</t>
  </si>
  <si>
    <t xml:space="preserve">Relationnel (min)</t>
  </si>
  <si>
    <t xml:space="preserve">Loisirs et créativité (min)</t>
  </si>
  <si>
    <t xml:space="preserve">Sommeil (h)</t>
  </si>
  <si>
    <t xml:space="preserve">Qualité sommeil</t>
  </si>
  <si>
    <t xml:space="preserve">Énergie</t>
  </si>
  <si>
    <t xml:space="preserve">Motivation</t>
  </si>
  <si>
    <t xml:space="preserve">Humeur</t>
  </si>
  <si>
    <t xml:space="preserve">Stress</t>
  </si>
  <si>
    <t xml:space="preserve">Écran (min)</t>
  </si>
  <si>
    <t xml:space="preserve">Pas</t>
  </si>
  <si>
    <t xml:space="preserve">Eau (l)</t>
  </si>
  <si>
    <t xml:space="preserve">Réflexions</t>
  </si>
  <si>
    <t xml:space="preserve">Moment marquant</t>
  </si>
  <si>
    <t xml:space="preserve">Oui</t>
  </si>
  <si>
    <t xml:space="preserve">Non</t>
  </si>
  <si>
    <t xml:space="preserve">Belle discussion avec un mentor sur ma carrière.</t>
  </si>
  <si>
    <t xml:space="preserve">Projet Python présenté à des amis.</t>
  </si>
  <si>
    <t xml:space="preserve">Réussite de l'examen de statistiques.</t>
  </si>
  <si>
    <t xml:space="preserve">Visite surprise de mon frère.</t>
  </si>
  <si>
    <t xml:space="preserve">Culte très édifiant ce dimanche.</t>
  </si>
  <si>
    <t xml:space="preserve">Début</t>
  </si>
  <si>
    <t xml:space="preserve">Fin</t>
  </si>
  <si>
    <t xml:space="preserve">Heures suivies</t>
  </si>
  <si>
    <t xml:space="preserve">Spirituel (h)</t>
  </si>
  <si>
    <t xml:space="preserve">Physique (h)</t>
  </si>
  <si>
    <t xml:space="preserve">Études (h)</t>
  </si>
  <si>
    <t xml:space="preserve">Professionnel (h)</t>
  </si>
  <si>
    <t xml:space="preserve">Personnel (h)</t>
  </si>
  <si>
    <t xml:space="preserve">Relationnel (h)</t>
  </si>
  <si>
    <t xml:space="preserve">Loisirs et créativité (h)</t>
  </si>
  <si>
    <t xml:space="preserve">Sommeil moyen (h)</t>
  </si>
  <si>
    <t xml:space="preserve">Énergie moyenne</t>
  </si>
  <si>
    <t xml:space="preserve">Humeur moyenne</t>
  </si>
  <si>
    <t xml:space="preserve">Écart moyen d'estimation (min)</t>
  </si>
  <si>
    <t xml:space="preserve">N°</t>
  </si>
  <si>
    <t xml:space="preserve">Type d'activité</t>
  </si>
  <si>
    <t xml:space="preserve">Intention</t>
  </si>
  <si>
    <t xml:space="preserve">Priorité</t>
  </si>
  <si>
    <t xml:space="preserve">Durée prévue (min)</t>
  </si>
  <si>
    <t xml:space="preserve">Statut</t>
  </si>
  <si>
    <t xml:space="preserve">Durée réelle (min)</t>
  </si>
  <si>
    <t xml:space="preserve">Écart (min)</t>
  </si>
  <si>
    <t xml:space="preserve">Score de réalisation</t>
  </si>
  <si>
    <t xml:space="preserve">Résultat</t>
  </si>
  <si>
    <t xml:space="preserve">Raison d'un écart</t>
  </si>
  <si>
    <t xml:space="preserve">Objectif relié</t>
  </si>
  <si>
    <t xml:space="preserve">Python</t>
  </si>
  <si>
    <t xml:space="preserve">Travailler sur mon projet Python</t>
  </si>
  <si>
    <t xml:space="preserve">Normale</t>
  </si>
  <si>
    <t xml:space="preserve">Reporté</t>
  </si>
  <si>
    <t xml:space="preserve">procrastination</t>
  </si>
  <si>
    <t xml:space="preserve">Terminer trois projets de data science publiés sur GitHub</t>
  </si>
  <si>
    <t xml:space="preserve">Machine Learning</t>
  </si>
  <si>
    <t xml:space="preserve">Étudier le Machine Learning</t>
  </si>
  <si>
    <t xml:space="preserve">Haute</t>
  </si>
  <si>
    <t xml:space="preserve">Réalisé</t>
  </si>
  <si>
    <t xml:space="preserve">Finances</t>
  </si>
  <si>
    <t xml:space="preserve">Faire le point sur mon budget</t>
  </si>
  <si>
    <t xml:space="preserve">fatigue</t>
  </si>
  <si>
    <t xml:space="preserve">Marche</t>
  </si>
  <si>
    <t xml:space="preserve">Marcher 40 minutes</t>
  </si>
  <si>
    <t xml:space="preserve">Non réalisé</t>
  </si>
  <si>
    <t xml:space="preserve">Musique</t>
  </si>
  <si>
    <t xml:space="preserve">Pratiquer la guitare</t>
  </si>
  <si>
    <t xml:space="preserve">Basse</t>
  </si>
  <si>
    <t xml:space="preserve">Abandonné</t>
  </si>
  <si>
    <t xml:space="preserve">Famille</t>
  </si>
  <si>
    <t xml:space="preserve">Appeler maman</t>
  </si>
  <si>
    <t xml:space="preserve">Lecture biblique</t>
  </si>
  <si>
    <t xml:space="preserve">Lire un chapitre de la Bible</t>
  </si>
  <si>
    <t xml:space="preserve">Lire toute la Bible en un an</t>
  </si>
  <si>
    <t xml:space="preserve">Portfolio</t>
  </si>
  <si>
    <t xml:space="preserve">Améliorer mon portfolio GitHub</t>
  </si>
  <si>
    <t xml:space="preserve">manque de temps</t>
  </si>
  <si>
    <t xml:space="preserve">Prière</t>
  </si>
  <si>
    <t xml:space="preserve">Temps de prière</t>
  </si>
  <si>
    <t xml:space="preserve">Partiel</t>
  </si>
  <si>
    <t xml:space="preserve">Candidatures</t>
  </si>
  <si>
    <t xml:space="preserve">Envoyer une candidature</t>
  </si>
  <si>
    <t xml:space="preserve">trop d'objectifs dans la journée</t>
  </si>
  <si>
    <t xml:space="preserve">Envoyer dix candidatures ciblées</t>
  </si>
  <si>
    <t xml:space="preserve">Chapitre compris</t>
  </si>
  <si>
    <t xml:space="preserve">Statistiques</t>
  </si>
  <si>
    <t xml:space="preserve">Réviser les statistiques</t>
  </si>
  <si>
    <t xml:space="preserve">Article scientifique</t>
  </si>
  <si>
    <t xml:space="preserve">Lire un article scientifique</t>
  </si>
  <si>
    <t xml:space="preserve">Exercices terminés</t>
  </si>
  <si>
    <t xml:space="preserve">Bug corrigé</t>
  </si>
  <si>
    <t xml:space="preserve">pas motivé</t>
  </si>
  <si>
    <t xml:space="preserve">Sport</t>
  </si>
  <si>
    <t xml:space="preserve">Faire 30 minutes de sport</t>
  </si>
  <si>
    <t xml:space="preserve">Faire du sport trois fois par semaine</t>
  </si>
  <si>
    <t xml:space="preserve">réunion qui a débordé</t>
  </si>
  <si>
    <t xml:space="preserve">Module terminé</t>
  </si>
  <si>
    <t xml:space="preserve">imprévu familial</t>
  </si>
  <si>
    <t xml:space="preserve">Activité</t>
  </si>
  <si>
    <t xml:space="preserve">Durée (min)</t>
  </si>
  <si>
    <t xml:space="preserve">Prévue</t>
  </si>
  <si>
    <t xml:space="preserve">Compétence</t>
  </si>
  <si>
    <t xml:space="preserve">Football</t>
  </si>
  <si>
    <t xml:space="preserve">Match de football</t>
  </si>
  <si>
    <t xml:space="preserve">Type</t>
  </si>
  <si>
    <t xml:space="preserve">Contenu</t>
  </si>
  <si>
    <t xml:space="preserve">Apprentissage</t>
  </si>
  <si>
    <t xml:space="preserve">J'ai compris la différence entre corrélation et causalité.</t>
  </si>
  <si>
    <t xml:space="preserve">J'ai appris la validation croisée.</t>
  </si>
  <si>
    <t xml:space="preserve">Gratitude</t>
  </si>
  <si>
    <t xml:space="preserve">Reconnaissant pour la santé et la famille.</t>
  </si>
  <si>
    <t xml:space="preserve">J'ai compris comment fonctionne la régularisation L2.</t>
  </si>
  <si>
    <t xml:space="preserve">Événement marquant</t>
  </si>
  <si>
    <t xml:space="preserve">Passage biblique</t>
  </si>
  <si>
    <t xml:space="preserve">Recommande à l'Éternel tes œuvres, et tes projets réussiront.</t>
  </si>
  <si>
    <t xml:space="preserve">Je puis tout par celui qui me fortifie.</t>
  </si>
  <si>
    <t xml:space="preserve">J'ai compris le principe des arbres de décision.</t>
  </si>
  <si>
    <t xml:space="preserve">J'ai appris à utiliser groupby avec Pandas.</t>
  </si>
  <si>
    <t xml:space="preserve">Calibration du temps</t>
  </si>
  <si>
    <t xml:space="preserve">Temps prévu contre temps réellement utilisé, par type d'activité (intentions avec durée prévue et réelle).</t>
  </si>
  <si>
    <t xml:space="preserve">Observations</t>
  </si>
  <si>
    <t xml:space="preserve">Prévu moyen (min)</t>
  </si>
  <si>
    <t xml:space="preserve">Réel moyen (min)</t>
  </si>
  <si>
    <t xml:space="preserve">Écart moyen (min)</t>
  </si>
  <si>
    <t xml:space="preserve">Réel / prévu</t>
  </si>
  <si>
    <t xml:space="preserve">Lecture</t>
  </si>
  <si>
    <t xml:space="preserve">Seuils : rapport réel / prévu supérieur à 1,1 = sous estimation, inférieur à 0,9 = surestimation. Au moins 3 observations sont nécessaires.</t>
  </si>
  <si>
    <t xml:space="preserve">Objectifs non réalisés</t>
  </si>
  <si>
    <t xml:space="preserve">Part des intentions évaluées qui n'ont pas été réalisées, par type d'activité.</t>
  </si>
  <si>
    <t xml:space="preserve">Non réalisées</t>
  </si>
  <si>
    <t xml:space="preserve">Abandonnées</t>
  </si>
  <si>
    <t xml:space="preserve">Reportées</t>
  </si>
  <si>
    <t xml:space="preserve">Taux de non réalisation</t>
  </si>
  <si>
    <t xml:space="preserve">Raisons citées</t>
  </si>
  <si>
    <t xml:space="preserve">Raison</t>
  </si>
  <si>
    <t xml:space="preserve">Nombre de fois</t>
  </si>
  <si>
    <t xml:space="preserve">Objectifs</t>
  </si>
  <si>
    <t xml:space="preserve">Progression calculée par PEI au moment de l'export, en incluant les actions des sous objectifs.</t>
  </si>
  <si>
    <t xml:space="preserve">Objectif</t>
  </si>
  <si>
    <t xml:space="preserve">Horizon</t>
  </si>
  <si>
    <t xml:space="preserve">Objectif parent</t>
  </si>
  <si>
    <t xml:space="preserve">Échéance</t>
  </si>
  <si>
    <t xml:space="preserve">Actions reliées</t>
  </si>
  <si>
    <t xml:space="preserve">Heures investies</t>
  </si>
  <si>
    <t xml:space="preserve">Dernière action</t>
  </si>
  <si>
    <t xml:space="preserve">Devenir un data scientist reconnu au service de mon pays</t>
  </si>
  <si>
    <t xml:space="preserve">Vision</t>
  </si>
  <si>
    <t xml:space="preserve">Actif</t>
  </si>
  <si>
    <t xml:space="preserve">Maîtriser le Machine Learning appliqué</t>
  </si>
  <si>
    <t xml:space="preserve">Long terme</t>
  </si>
  <si>
    <t xml:space="preserve">Annuel</t>
  </si>
  <si>
    <t xml:space="preserve">Mensuel</t>
  </si>
  <si>
    <t xml:space="preserve">Compétences</t>
  </si>
  <si>
    <t xml:space="preserve">Ressenti (dernière auto évaluation) et preuves observables (heures et séances sur la période).</t>
  </si>
  <si>
    <t xml:space="preserve">Niveau visé</t>
  </si>
  <si>
    <t xml:space="preserve">Dernière auto évaluation</t>
  </si>
  <si>
    <t xml:space="preserve">Première auto évaluation</t>
  </si>
  <si>
    <t xml:space="preserve">Évolution du ressenti</t>
  </si>
  <si>
    <t xml:space="preserve">Heures de pratique</t>
  </si>
  <si>
    <t xml:space="preserve">Séances</t>
  </si>
  <si>
    <t xml:space="preserve">Séances avec résultat</t>
  </si>
  <si>
    <t xml:space="preserve">Évaluations</t>
  </si>
  <si>
    <t xml:space="preserve">Auto évaluation (sur 5)</t>
  </si>
  <si>
    <t xml:space="preserve">Score objectif (sur 100)</t>
  </si>
  <si>
    <t xml:space="preserve">Type de preuve</t>
  </si>
  <si>
    <t xml:space="preserve">Preuve</t>
  </si>
  <si>
    <t xml:space="preserve">Commentaire</t>
  </si>
  <si>
    <t xml:space="preserve">exercice</t>
  </si>
  <si>
    <t xml:space="preserve">Évaluation Machine Learning du mois</t>
  </si>
  <si>
    <t xml:space="preserve">projet</t>
  </si>
  <si>
    <t xml:space="preserve">Évaluation Python du mois</t>
  </si>
  <si>
    <t xml:space="preserve">test</t>
  </si>
  <si>
    <t xml:space="preserve">Évaluation Statistiques du mois</t>
  </si>
  <si>
    <t xml:space="preserve">Analyses statistiques</t>
  </si>
  <si>
    <t xml:space="preserve">Valeurs calculées par PEI au moment de l'export. Association statistique observée dans tes données, ce qui ne prouve pas une relation de cause à effet.</t>
  </si>
  <si>
    <t xml:space="preserve">Tendances des 3 dernières semaines</t>
  </si>
  <si>
    <t xml:space="preserve">Comparaison avec les 3 semaines précédentes, test de Mann Whitney (p).</t>
  </si>
  <si>
    <t xml:space="preserve">Indicateur</t>
  </si>
  <si>
    <t xml:space="preserve">Sens</t>
  </si>
  <si>
    <t xml:space="preserve">Avant</t>
  </si>
  <si>
    <t xml:space="preserve">Récent</t>
  </si>
  <si>
    <t xml:space="preserve">p</t>
  </si>
  <si>
    <t xml:space="preserve">Le temps consacré à Python</t>
  </si>
  <si>
    <t xml:space="preserve">hausse</t>
  </si>
  <si>
    <t xml:space="preserve">Au cours des 3 dernières semaines, le temps consacré à Python est en hausse (moyenne 29 contre 0 sur les 3 semaines précédentes).</t>
  </si>
  <si>
    <t xml:space="preserve">Minutes Spirituel</t>
  </si>
  <si>
    <t xml:space="preserve">Au cours des 3 dernières semaines, minutes Spirituel est en hausse (moyenne 10.8 contre 3.6 sur les 3 semaines précédentes).</t>
  </si>
  <si>
    <t xml:space="preserve">Nombre d'intentions</t>
  </si>
  <si>
    <t xml:space="preserve">Au cours des 3 dernières semaines, nombre d'intentions est en hausse (moyenne 4.1 contre 3 sur les 3 semaines précédentes).</t>
  </si>
  <si>
    <t xml:space="preserve">Associations entre indicateurs</t>
  </si>
  <si>
    <t xml:space="preserve">Corrélation de Spearman (rho), q = p valeur corrigée de Benjamini Hochberg.</t>
  </si>
  <si>
    <t xml:space="preserve">Variable 1</t>
  </si>
  <si>
    <t xml:space="preserve">Variable 2</t>
  </si>
  <si>
    <t xml:space="preserve">rho</t>
  </si>
  <si>
    <t xml:space="preserve">Jours</t>
  </si>
  <si>
    <t xml:space="preserve">q</t>
  </si>
  <si>
    <t xml:space="preserve">modérée, nette</t>
  </si>
  <si>
    <t xml:space="preserve">Minutes Physique</t>
  </si>
  <si>
    <t xml:space="preserve">modérée, incertaine</t>
  </si>
  <si>
    <t xml:space="preserve">faible, incertaine</t>
  </si>
  <si>
    <t xml:space="preserve">Minutes Études</t>
  </si>
  <si>
    <t xml:space="preserve">Temps d'écran (min)</t>
  </si>
  <si>
    <t xml:space="preserve">Jours atypiques</t>
  </si>
  <si>
    <t xml:space="preserve">Écart à la médiane glissante sur 28 jours, mesuré en écarts robustes (MAD).</t>
  </si>
  <si>
    <t xml:space="preserve">Valeur</t>
  </si>
  <si>
    <t xml:space="preserve">Habituel</t>
  </si>
  <si>
    <t xml:space="preserve">Écart robuste</t>
  </si>
  <si>
    <t xml:space="preserve">haut</t>
  </si>
  <si>
    <t xml:space="preserve">Nombre d'intentions et réalisation</t>
  </si>
  <si>
    <t xml:space="preserve">Taux de réalisation moyen selon le nombre d'intentions fixées le matin.</t>
  </si>
  <si>
    <t xml:space="preserve">Taux moyen</t>
  </si>
  <si>
    <t xml:space="preserve">1 à 3</t>
  </si>
  <si>
    <t xml:space="preserve">4</t>
  </si>
  <si>
    <t xml:space="preserve">5</t>
  </si>
  <si>
    <t xml:space="preserve">6 et plus</t>
  </si>
  <si>
    <t xml:space="preserve">Recommandations</t>
  </si>
  <si>
    <t xml:space="preserve">Générées à partir des analyses ci dessus, avec leur mise en garde.</t>
  </si>
  <si>
    <t xml:space="preserve">Recommandation</t>
  </si>
  <si>
    <t xml:space="preserve">Message</t>
  </si>
  <si>
    <t xml:space="preserve">Mise en garde</t>
  </si>
  <si>
    <t xml:space="preserve">Estimation du temps : Marche</t>
  </si>
  <si>
    <t xml:space="preserve">Les activités « Marche » prennent en moyenne 40 % de moins de temps que ton estimation initiale (40 min prévues, 26.7 min réelles, 9 observations).</t>
  </si>
  <si>
    <t xml:space="preserve">Estimation fondée sur l'historique, à ajuster si la nature des tâches change.</t>
  </si>
  <si>
    <t xml:space="preserve">Estimation du temps : Portfolio</t>
  </si>
  <si>
    <t xml:space="preserve">Les activités « Portfolio » prennent en moyenne 38 % de plus de temps que ton estimation initiale (60 min prévues, 75 min réelles, 10 observations).</t>
  </si>
  <si>
    <t xml:space="preserve">Tendance : Nombre d'intentions</t>
  </si>
  <si>
    <t xml:space="preserve">Au cours des 3 dernières semaines, nombre d'intentions est en hausse (moyenne 4.7 contre 2.9 sur les 3 semaines précédentes).</t>
  </si>
  <si>
    <t xml:space="preserve">Comparaison descriptive entre deux périodes consécutives.</t>
  </si>
  <si>
    <t xml:space="preserve">Tendance : Minutes Spirituel</t>
  </si>
  <si>
    <t xml:space="preserve">Au cours des 3 dernières semaines, minutes Spirituel est en hausse (moyenne 11.4 contre 4 sur les 3 semaines précédentes).</t>
  </si>
  <si>
    <t xml:space="preserve">Tendance : Le temps consacré à Python</t>
  </si>
  <si>
    <t xml:space="preserve">Minutes Spirituel et taux de réalisation</t>
  </si>
  <si>
    <t xml:space="preserve">Les jours où minutes spirituel est plus élevé, taux de réalisation tend à être plus élevé (corrélation modérée, rho = 0.408, 78 jours).</t>
  </si>
  <si>
    <t xml:space="preserve">Association statistique observée dans tes données, ce qui ne prouve pas une relation de cause à effet.</t>
  </si>
  <si>
    <t xml:space="preserve">Minutes Physique et taux de réalisation</t>
  </si>
  <si>
    <t xml:space="preserve">Les jours où minutes physique est plus élevé, taux de réalisation tend à être plus élevé (corrélation modérée, rho = 0.38, 78 jours).</t>
  </si>
  <si>
    <t xml:space="preserve">Objectif souvent abandonné : Marche</t>
  </si>
  <si>
    <t xml:space="preserve">« Marche » n'est pas réalisé dans 52 % des cas (12 sur 23). Raison la plus citée : « fatigue ». Un format plus court ou un autre moment de la journée peut être testé.</t>
  </si>
  <si>
    <t xml:space="preserve">Suggestion à valider par une expérience personnelle.</t>
  </si>
  <si>
    <t xml:space="preserve">Objectif souvent abandonné : Sport</t>
  </si>
  <si>
    <t xml:space="preserve">« Sport » n'est pas réalisé dans 52 % des cas (12 sur 23). Raison la plus citée : « fatigue ». Un format plus court ou un autre moment de la journée peut être testé.</t>
  </si>
  <si>
    <t xml:space="preserve">Rythme de la semaine</t>
  </si>
  <si>
    <t xml:space="preserve">Ton meilleur jour est le vendredi (55 % de réalisation) et le plus difficile le mercredi (31 %).</t>
  </si>
  <si>
    <t xml:space="preserve">Description de tes habitudes passées.</t>
  </si>
  <si>
    <t xml:space="preserve">Relation à entretenir : Maman</t>
  </si>
  <si>
    <t xml:space="preserve">Dernier échange il y a 5 jours (rythme souhaité : tous les 3 jours).</t>
  </si>
  <si>
    <t xml:space="preserve">Rappel issu de ton propre rythme souhaité.</t>
  </si>
  <si>
    <t xml:space="preserve">Relation à entretenir : Mentor</t>
  </si>
  <si>
    <t xml:space="preserve">Dernier échange il y a 49 jours (rythme souhaité : tous les 30 jours).</t>
  </si>
  <si>
    <t xml:space="preserve">Décision</t>
  </si>
  <si>
    <t xml:space="preserve">Contexte</t>
  </si>
  <si>
    <t xml:space="preserve">Raisons</t>
  </si>
  <si>
    <t xml:space="preserve">Alternatives</t>
  </si>
  <si>
    <t xml:space="preserve">Choix</t>
  </si>
  <si>
    <t xml:space="preserve">Confiance (sur 5)</t>
  </si>
  <si>
    <t xml:space="preserve">Revue prévue</t>
  </si>
  <si>
    <t xml:space="preserve">Appréciation (sur 5)</t>
  </si>
  <si>
    <t xml:space="preserve">Leçon</t>
  </si>
  <si>
    <t xml:space="preserve">Me concentrer sur la data science plutôt que le web</t>
  </si>
  <si>
    <t xml:space="preserve">Deux pistes de spécialisation possibles.</t>
  </si>
  <si>
    <t xml:space="preserve">Goût pour les statistiques, demande croissante.</t>
  </si>
  <si>
    <t xml:space="preserve">Développement web</t>
  </si>
  <si>
    <t xml:space="preserve">Data science</t>
  </si>
  <si>
    <t xml:space="preserve">Deux projets publiés</t>
  </si>
  <si>
    <t xml:space="preserve">Choisir un domaine aligné avec ses forces accélère la progression.</t>
  </si>
  <si>
    <t xml:space="preserve">Réduire le nombre d'objectifs quotidiens à quatre</t>
  </si>
  <si>
    <t xml:space="preserve">Trop d'abandons les jours chargés</t>
  </si>
  <si>
    <t xml:space="preserve">Expérience</t>
  </si>
  <si>
    <t xml:space="preserve">Hypothèse</t>
  </si>
  <si>
    <t xml:space="preserve">Moyenne avant</t>
  </si>
  <si>
    <t xml:space="preserve">Moyenne pendant</t>
  </si>
  <si>
    <t xml:space="preserve">Quatre objectifs maximum</t>
  </si>
  <si>
    <t xml:space="preserve">Je suis plus régulier lorsque je fixe au maximum quatre objectifs importants par jour.</t>
  </si>
  <si>
    <t xml:space="preserve">Pas de différence nette pour taux de réalisation entre les deux périodes (p = 0.778).</t>
  </si>
  <si>
    <t xml:space="preserve">Personne</t>
  </si>
  <si>
    <t xml:space="preserve">Relation</t>
  </si>
  <si>
    <t xml:space="preserve">Contact souhaité (jours)</t>
  </si>
  <si>
    <t xml:space="preserve">Échanges</t>
  </si>
  <si>
    <t xml:space="preserve">Dernier échange</t>
  </si>
  <si>
    <t xml:space="preserve">Jours depuis</t>
  </si>
  <si>
    <t xml:space="preserve">À relancer</t>
  </si>
  <si>
    <t xml:space="preserve">Maman</t>
  </si>
  <si>
    <t xml:space="preserve">famille</t>
  </si>
  <si>
    <t xml:space="preserve">Mentor</t>
  </si>
  <si>
    <t xml:space="preserve">mentor</t>
  </si>
  <si>
    <t xml:space="preserve">Fichier</t>
  </si>
  <si>
    <t xml:space="preserve">Légende</t>
  </si>
  <si>
    <t xml:space="preserve">Taille (Ko)</t>
  </si>
  <si>
    <t xml:space="preserve">Transcription</t>
  </si>
  <si>
    <t xml:space="preserve">Texte transcrit</t>
  </si>
  <si>
    <t xml:space="preserve">Empreinte SHA 256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</si>
</sst>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0.0%"/>
    <numFmt numFmtId="167" formatCode="0.0"/>
    <numFmt numFmtId="168" formatCode="0.00"/>
    <numFmt numFmtId="169" formatCode="0%"/>
    <numFmt numFmtId="170" formatCode="dd/mm/yyyy"/>
    <numFmt numFmtId="171" formatCode="#,##0"/>
    <numFmt numFmtId="172" formatCode="\+0.0;\-0.0;0"/>
    <numFmt numFmtId="173" formatCode="0.0000"/>
    <numFmt numFmtId="174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6A4E"/>
      <name val="Arial"/>
      <family val="0"/>
      <charset val="1"/>
    </font>
    <font>
      <i val="true"/>
      <sz val="10"/>
      <color rgb="FF5B6A63"/>
      <name val="Arial"/>
      <family val="0"/>
      <charset val="1"/>
    </font>
    <font>
      <b val="true"/>
      <sz val="12"/>
      <color rgb="FF006A4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4F6F2"/>
        <bgColor rgb="FFF9F9F9"/>
      </patternFill>
    </fill>
    <fill>
      <patternFill patternType="solid">
        <fgColor rgb="FF006A4E"/>
        <bgColor rgb="FF0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6E0"/>
      </bottom>
      <diagonal/>
    </border>
    <border diagonalUp="false" diagonalDown="false">
      <left/>
      <right/>
      <top/>
      <bottom style="medium">
        <color rgb="FFFFCE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6A4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D21034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A4E"/>
      <rgbColor rgb="FFC0C0C0"/>
      <rgbColor rgb="FF878787"/>
      <rgbColor rgb="FF9999FF"/>
      <rgbColor rgb="FF993366"/>
      <rgbColor rgb="FFF4F6F2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E6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E00"/>
      <rgbColor rgb="FFFF9900"/>
      <rgbColor rgb="FFFF6600"/>
      <rgbColor rgb="FF5B6A6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Heures par dimension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Synthese!B23</c:f>
              <c:strCache>
                <c:ptCount val="1"/>
                <c:pt idx="0">
                  <c:v>Heures</c:v>
                </c:pt>
              </c:strCache>
            </c:strRef>
          </c:tx>
          <c:spPr>
            <a:solidFill>
              <a:srgbClr val="006a4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Synthese!$A$24:$A$30</c:f>
              <c:strCache>
                <c:ptCount val="7"/>
                <c:pt idx="0">
                  <c:v>Spirituel</c:v>
                </c:pt>
                <c:pt idx="1">
                  <c:v>Physique</c:v>
                </c:pt>
                <c:pt idx="2">
                  <c:v>Études</c:v>
                </c:pt>
                <c:pt idx="3">
                  <c:v>Professionnel</c:v>
                </c:pt>
                <c:pt idx="4">
                  <c:v>Personnel</c:v>
                </c:pt>
                <c:pt idx="5">
                  <c:v>Relationnel</c:v>
                </c:pt>
                <c:pt idx="6">
                  <c:v>Loisirs et créativité</c:v>
                </c:pt>
              </c:strCache>
            </c:strRef>
          </c:cat>
          <c:val>
            <c:numRef>
              <c:f>Synthese!$B$24:$B$30</c:f>
              <c:numCache>
                <c:formatCode>0.0</c:formatCode>
                <c:ptCount val="7"/>
                <c:pt idx="0">
                  <c:v>12.1833333333333</c:v>
                </c:pt>
                <c:pt idx="1">
                  <c:v>7.53333333333333</c:v>
                </c:pt>
                <c:pt idx="2">
                  <c:v>66.5166666666667</c:v>
                </c:pt>
                <c:pt idx="3">
                  <c:v>19.05</c:v>
                </c:pt>
                <c:pt idx="4">
                  <c:v>3.46666666666667</c:v>
                </c:pt>
                <c:pt idx="5">
                  <c:v>7.3</c:v>
                </c:pt>
                <c:pt idx="6">
                  <c:v>41.85</c:v>
                </c:pt>
              </c:numCache>
            </c:numRef>
          </c:val>
        </c:ser>
        <c:gapWidth val="150"/>
        <c:overlap val="0"/>
        <c:axId val="53369859"/>
        <c:axId val="11932642"/>
      </c:barChart>
      <c:catAx>
        <c:axId val="533698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32642"/>
        <c:crosses val="autoZero"/>
        <c:auto val="1"/>
        <c:lblAlgn val="ctr"/>
        <c:lblOffset val="100"/>
        <c:noMultiLvlLbl val="0"/>
      </c:catAx>
      <c:valAx>
        <c:axId val="11932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heures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3698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Taux de réalisation par semaine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Hebdomadaire!H1</c:f>
              <c:strCache>
                <c:ptCount val="1"/>
                <c:pt idx="0">
                  <c:v>Taux de réalisation</c:v>
                </c:pt>
              </c:strCache>
            </c:strRef>
          </c:tx>
          <c:spPr>
            <a:solidFill>
              <a:srgbClr val="d21034"/>
            </a:solidFill>
            <a:ln w="28080">
              <a:solidFill>
                <a:srgbClr val="d210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Hebdomadaire!$A$2:$A$14</c:f>
              <c:strCache>
                <c:ptCount val="13"/>
                <c:pt idx="0">
                  <c:v>13/07/2026</c:v>
                </c:pt>
                <c:pt idx="1">
                  <c:v>20/07/2026</c:v>
                </c:pt>
                <c:pt idx="2">
                  <c:v>27/07/2026</c:v>
                </c:pt>
                <c:pt idx="3">
                  <c:v>03/08/2026</c:v>
                </c:pt>
                <c:pt idx="4">
                  <c:v>10/08/2026</c:v>
                </c:pt>
                <c:pt idx="5">
                  <c:v>17/08/2026</c:v>
                </c:pt>
                <c:pt idx="6">
                  <c:v>24/08/2026</c:v>
                </c:pt>
                <c:pt idx="7">
                  <c:v>31/08/2026</c:v>
                </c:pt>
                <c:pt idx="8">
                  <c:v>07/09/2026</c:v>
                </c:pt>
                <c:pt idx="9">
                  <c:v>14/09/2026</c:v>
                </c:pt>
                <c:pt idx="10">
                  <c:v>21/09/2026</c:v>
                </c:pt>
                <c:pt idx="11">
                  <c:v>28/09/2026</c:v>
                </c:pt>
                <c:pt idx="12">
                  <c:v>05/10/2026</c:v>
                </c:pt>
              </c:strCache>
            </c:strRef>
          </c:cat>
          <c:val>
            <c:numRef>
              <c:f>Hebdomadaire!$H$2:$H$14</c:f>
              <c:numCache>
                <c:formatCode>0.0%</c:formatCode>
                <c:ptCount val="13"/>
                <c:pt idx="0">
                  <c:v>0.547619047619048</c:v>
                </c:pt>
                <c:pt idx="1">
                  <c:v>0.620689655172414</c:v>
                </c:pt>
                <c:pt idx="2">
                  <c:v>0.382352941176471</c:v>
                </c:pt>
                <c:pt idx="3">
                  <c:v>0.362068965517241</c:v>
                </c:pt>
                <c:pt idx="4">
                  <c:v>0.393939393939394</c:v>
                </c:pt>
                <c:pt idx="5">
                  <c:v>0.433333333333333</c:v>
                </c:pt>
                <c:pt idx="6">
                  <c:v>0.409090909090909</c:v>
                </c:pt>
                <c:pt idx="7">
                  <c:v>0.407407407407407</c:v>
                </c:pt>
                <c:pt idx="8">
                  <c:v>0.3</c:v>
                </c:pt>
                <c:pt idx="9">
                  <c:v>0.392857142857143</c:v>
                </c:pt>
                <c:pt idx="10">
                  <c:v>0.447368421052632</c:v>
                </c:pt>
                <c:pt idx="11">
                  <c:v>0.375</c:v>
                </c:pt>
                <c:pt idx="12">
                  <c:v>0.45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336163"/>
        <c:axId val="23744476"/>
      </c:lineChart>
      <c:catAx>
        <c:axId val="57336163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744476"/>
        <c:crosses val="autoZero"/>
        <c:auto val="1"/>
        <c:lblAlgn val="ctr"/>
        <c:lblOffset val="100"/>
        <c:noMultiLvlLbl val="0"/>
      </c:catAx>
      <c:valAx>
        <c:axId val="2374447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361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131040</xdr:rowOff>
    </xdr:from>
    <xdr:to>
      <xdr:col>13</xdr:col>
      <xdr:colOff>87840</xdr:colOff>
      <xdr:row>17</xdr:row>
      <xdr:rowOff>153000</xdr:rowOff>
    </xdr:to>
    <xdr:graphicFrame>
      <xdr:nvGraphicFramePr>
        <xdr:cNvPr id="0" name="Chart 1"/>
        <xdr:cNvGraphicFramePr/>
      </xdr:nvGraphicFramePr>
      <xdr:xfrm>
        <a:off x="11023560" y="5716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130680</xdr:rowOff>
    </xdr:from>
    <xdr:to>
      <xdr:col>13</xdr:col>
      <xdr:colOff>87840</xdr:colOff>
      <xdr:row>33</xdr:row>
      <xdr:rowOff>153000</xdr:rowOff>
    </xdr:to>
    <xdr:graphicFrame>
      <xdr:nvGraphicFramePr>
        <xdr:cNvPr id="1" name="Chart 2"/>
        <xdr:cNvGraphicFramePr/>
      </xdr:nvGraphicFramePr>
      <xdr:xfrm>
        <a:off x="11023560" y="38098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A4E"/>
    <pageSetUpPr fitToPage="true"/>
  </sheetPr>
  <dimension ref="A1:E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COUNTA(Quotidien!$A$2:$A$91)</f>
        <v>90</v>
      </c>
    </row>
    <row r="6" customFormat="false" ht="15" hidden="false" customHeight="false" outlineLevel="0" collapsed="false">
      <c r="A6" s="4" t="s">
        <v>4</v>
      </c>
      <c r="B6" s="5" t="n">
        <f aca="false">COUNTIFS(Quotidien!$C$2:$C$91,"Oui")</f>
        <v>78</v>
      </c>
    </row>
    <row r="7" customFormat="false" ht="15" hidden="false" customHeight="false" outlineLevel="0" collapsed="false">
      <c r="A7" s="4" t="s">
        <v>5</v>
      </c>
      <c r="B7" s="6" t="n">
        <f aca="false">IFERROR(B6/B5,0)</f>
        <v>0.866666666666667</v>
      </c>
    </row>
    <row r="8" customFormat="false" ht="15" hidden="false" customHeight="false" outlineLevel="0" collapsed="false">
      <c r="A8" s="4" t="s">
        <v>6</v>
      </c>
      <c r="B8" s="5" t="n">
        <f aca="false">COUNTA(Intentions!$A$2:$A$344)</f>
        <v>343</v>
      </c>
    </row>
    <row r="9" customFormat="false" ht="15" hidden="false" customHeight="false" outlineLevel="0" collapsed="false">
      <c r="A9" s="4" t="s">
        <v>7</v>
      </c>
      <c r="B9" s="5" t="n">
        <f aca="false">COUNTIFS(Intentions!$H$2:$H$344,"&lt;&gt;Prévu",Intentions!$A$2:$A$344,"&lt;&gt;")</f>
        <v>343</v>
      </c>
    </row>
    <row r="10" customFormat="false" ht="15" hidden="false" customHeight="false" outlineLevel="0" collapsed="false">
      <c r="A10" s="4" t="s">
        <v>8</v>
      </c>
      <c r="B10" s="5" t="n">
        <f aca="false">COUNTIFS(Intentions!$H$2:$H$344,"Réalisé")+COUNTIFS(Intentions!$H$2:$H$344,"Partiel")</f>
        <v>162</v>
      </c>
    </row>
    <row r="11" customFormat="false" ht="15" hidden="false" customHeight="false" outlineLevel="0" collapsed="false">
      <c r="A11" s="4" t="s">
        <v>9</v>
      </c>
      <c r="B11" s="6" t="n">
        <f aca="false">IFERROR(SUM(Intentions!$K$2:$K$344)/B9,"")</f>
        <v>0.427113702623907</v>
      </c>
      <c r="C11" s="2" t="s">
        <v>10</v>
      </c>
    </row>
    <row r="12" customFormat="false" ht="15" hidden="false" customHeight="false" outlineLevel="0" collapsed="false">
      <c r="A12" s="4" t="s">
        <v>11</v>
      </c>
      <c r="B12" s="7" t="n">
        <f aca="false">SUM(Activites!$F$2:$F$189)/60</f>
        <v>157.9</v>
      </c>
    </row>
    <row r="13" customFormat="false" ht="15" hidden="false" customHeight="false" outlineLevel="0" collapsed="false">
      <c r="A13" s="4" t="s">
        <v>12</v>
      </c>
      <c r="B13" s="7" t="n">
        <f aca="false">IFERROR(SUM(Activites!$F$2:$F$189)/B6,"")</f>
        <v>121.461538461538</v>
      </c>
    </row>
    <row r="14" customFormat="false" ht="15" hidden="false" customHeight="false" outlineLevel="0" collapsed="false">
      <c r="A14" s="4" t="s">
        <v>13</v>
      </c>
      <c r="B14" s="7" t="n">
        <f aca="false">IFERROR(AVERAGE(Intentions!$J$2:$J$344),"")</f>
        <v>4.19135802469136</v>
      </c>
    </row>
    <row r="15" customFormat="false" ht="15" hidden="false" customHeight="false" outlineLevel="0" collapsed="false">
      <c r="A15" s="4" t="s">
        <v>14</v>
      </c>
      <c r="B15" s="7" t="n">
        <f aca="false">IFERROR(AVERAGE(Quotidien!$Q$2:$Q$91),"")</f>
        <v>6.84102564102564</v>
      </c>
    </row>
    <row r="16" customFormat="false" ht="15" hidden="false" customHeight="false" outlineLevel="0" collapsed="false">
      <c r="A16" s="4" t="s">
        <v>15</v>
      </c>
      <c r="B16" s="8" t="n">
        <f aca="false">IFERROR(AVERAGE(Quotidien!$S$2:$S$91),"")</f>
        <v>3.08974358974359</v>
      </c>
    </row>
    <row r="17" customFormat="false" ht="15" hidden="false" customHeight="false" outlineLevel="0" collapsed="false">
      <c r="A17" s="4" t="s">
        <v>16</v>
      </c>
      <c r="B17" s="8" t="n">
        <f aca="false">IFERROR(AVERAGE(Quotidien!$U$2:$U$91),"")</f>
        <v>3.19230769230769</v>
      </c>
    </row>
    <row r="18" customFormat="false" ht="15" hidden="false" customHeight="false" outlineLevel="0" collapsed="false">
      <c r="A18" s="4" t="s">
        <v>17</v>
      </c>
      <c r="B18" s="5" t="n">
        <f aca="false">COUNTA(Reflexions!$D$2:$D$57)</f>
        <v>56</v>
      </c>
    </row>
    <row r="19" customFormat="false" ht="15" hidden="false" customHeight="false" outlineLevel="0" collapsed="false">
      <c r="A19" s="4" t="s">
        <v>18</v>
      </c>
      <c r="B19" s="7" t="n">
        <f aca="false">MAX(Hebdomadaire!$I$2:$I$14)</f>
        <v>21.5833333333333</v>
      </c>
    </row>
    <row r="22" customFormat="false" ht="15" hidden="false" customHeight="false" outlineLevel="0" collapsed="false">
      <c r="A22" s="3" t="s">
        <v>19</v>
      </c>
    </row>
    <row r="23" customFormat="false" ht="30" hidden="false" customHeight="true" outlineLevel="0" collapsed="false">
      <c r="A23" s="9" t="s">
        <v>20</v>
      </c>
      <c r="B23" s="9" t="s">
        <v>21</v>
      </c>
      <c r="C23" s="9" t="s">
        <v>22</v>
      </c>
      <c r="D23" s="9" t="s">
        <v>9</v>
      </c>
      <c r="E23" s="9" t="s">
        <v>23</v>
      </c>
    </row>
    <row r="24" customFormat="false" ht="15" hidden="false" customHeight="false" outlineLevel="0" collapsed="false">
      <c r="A24" s="4" t="s">
        <v>24</v>
      </c>
      <c r="B24" s="10" t="n">
        <f aca="false">SUMIFS(Activites!$F$2:$F$189,Activites!$C$2:$C$189,$A24)/60</f>
        <v>12.1833333333333</v>
      </c>
      <c r="C24" s="11" t="n">
        <f aca="false">COUNTIFS(Intentions!$C$2:$C$344,$A24)</f>
        <v>54</v>
      </c>
      <c r="D24" s="12" t="n">
        <f aca="false">IFERROR(SUMIFS(Intentions!$K$2:$K$344,Intentions!$C$2:$C$344,$A24)/COUNTIFS(Intentions!$C$2:$C$344,$A24,Intentions!$H$2:$H$344,"&lt;&gt;Prévu"),"")</f>
        <v>0.685185185185185</v>
      </c>
      <c r="E24" s="12" t="n">
        <f aca="false">IFERROR(B24/$B$12,"")</f>
        <v>0.0771585391598058</v>
      </c>
    </row>
    <row r="25" customFormat="false" ht="15" hidden="false" customHeight="false" outlineLevel="0" collapsed="false">
      <c r="A25" s="4" t="s">
        <v>25</v>
      </c>
      <c r="B25" s="10" t="n">
        <f aca="false">SUMIFS(Activites!$F$2:$F$189,Activites!$C$2:$C$189,$A25)/60</f>
        <v>7.53333333333333</v>
      </c>
      <c r="C25" s="11" t="n">
        <f aca="false">COUNTIFS(Intentions!$C$2:$C$344,$A25)</f>
        <v>46</v>
      </c>
      <c r="D25" s="12" t="n">
        <f aca="false">IFERROR(SUMIFS(Intentions!$K$2:$K$344,Intentions!$C$2:$C$344,$A25)/COUNTIFS(Intentions!$C$2:$C$344,$A25,Intentions!$H$2:$H$344,"&lt;&gt;Prévu"),"")</f>
        <v>0.304347826086957</v>
      </c>
      <c r="E25" s="12" t="n">
        <f aca="false">IFERROR(B25/$B$12,"")</f>
        <v>0.0477095207937513</v>
      </c>
    </row>
    <row r="26" customFormat="false" ht="15" hidden="false" customHeight="false" outlineLevel="0" collapsed="false">
      <c r="A26" s="4" t="s">
        <v>26</v>
      </c>
      <c r="B26" s="10" t="n">
        <f aca="false">SUMIFS(Activites!$F$2:$F$189,Activites!$C$2:$C$189,$A26)/60</f>
        <v>66.5166666666667</v>
      </c>
      <c r="C26" s="11" t="n">
        <f aca="false">COUNTIFS(Intentions!$C$2:$C$344,$A26)</f>
        <v>126</v>
      </c>
      <c r="D26" s="12" t="n">
        <f aca="false">IFERROR(SUMIFS(Intentions!$K$2:$K$344,Intentions!$C$2:$C$344,$A26)/COUNTIFS(Intentions!$C$2:$C$344,$A26,Intentions!$H$2:$H$344,"&lt;&gt;Prévu"),"")</f>
        <v>0.369047619047619</v>
      </c>
      <c r="E26" s="12" t="n">
        <f aca="false">IFERROR(B26/$B$12,"")</f>
        <v>0.421258180282879</v>
      </c>
    </row>
    <row r="27" customFormat="false" ht="15" hidden="false" customHeight="false" outlineLevel="0" collapsed="false">
      <c r="A27" s="4" t="s">
        <v>27</v>
      </c>
      <c r="B27" s="10" t="n">
        <f aca="false">SUMIFS(Activites!$F$2:$F$189,Activites!$C$2:$C$189,$A27)/60</f>
        <v>19.05</v>
      </c>
      <c r="C27" s="11" t="n">
        <f aca="false">COUNTIFS(Intentions!$C$2:$C$344,$A27)</f>
        <v>44</v>
      </c>
      <c r="D27" s="12" t="n">
        <f aca="false">IFERROR(SUMIFS(Intentions!$K$2:$K$344,Intentions!$C$2:$C$344,$A27)/COUNTIFS(Intentions!$C$2:$C$344,$A27,Intentions!$H$2:$H$344,"&lt;&gt;Prévu"),"")</f>
        <v>0.352272727272727</v>
      </c>
      <c r="E27" s="12" t="n">
        <f aca="false">IFERROR(B27/$B$12,"")</f>
        <v>0.120645978467384</v>
      </c>
    </row>
    <row r="28" customFormat="false" ht="15" hidden="false" customHeight="false" outlineLevel="0" collapsed="false">
      <c r="A28" s="4" t="s">
        <v>28</v>
      </c>
      <c r="B28" s="10" t="n">
        <f aca="false">SUMIFS(Activites!$F$2:$F$189,Activites!$C$2:$C$189,$A28)/60</f>
        <v>3.46666666666667</v>
      </c>
      <c r="C28" s="11" t="n">
        <f aca="false">COUNTIFS(Intentions!$C$2:$C$344,$A28)</f>
        <v>24</v>
      </c>
      <c r="D28" s="12" t="n">
        <f aca="false">IFERROR(SUMIFS(Intentions!$K$2:$K$344,Intentions!$C$2:$C$344,$A28)/COUNTIFS(Intentions!$C$2:$C$344,$A28,Intentions!$H$2:$H$344,"&lt;&gt;Prévu"),"")</f>
        <v>0.333333333333333</v>
      </c>
      <c r="E28" s="12" t="n">
        <f aca="false">IFERROR(B28/$B$12,"")</f>
        <v>0.021954823728098</v>
      </c>
    </row>
    <row r="29" customFormat="false" ht="15" hidden="false" customHeight="false" outlineLevel="0" collapsed="false">
      <c r="A29" s="4" t="s">
        <v>29</v>
      </c>
      <c r="B29" s="10" t="n">
        <f aca="false">SUMIFS(Activites!$F$2:$F$189,Activites!$C$2:$C$189,$A29)/60</f>
        <v>7.3</v>
      </c>
      <c r="C29" s="11" t="n">
        <f aca="false">COUNTIFS(Intentions!$C$2:$C$344,$A29)</f>
        <v>27</v>
      </c>
      <c r="D29" s="12" t="n">
        <f aca="false">IFERROR(SUMIFS(Intentions!$K$2:$K$344,Intentions!$C$2:$C$344,$A29)/COUNTIFS(Intentions!$C$2:$C$344,$A29,Intentions!$H$2:$H$344,"&lt;&gt;Prévu"),"")</f>
        <v>0.666666666666667</v>
      </c>
      <c r="E29" s="12" t="n">
        <f aca="false">IFERROR(B29/$B$12,"")</f>
        <v>0.0462317922735909</v>
      </c>
    </row>
    <row r="30" customFormat="false" ht="15" hidden="false" customHeight="false" outlineLevel="0" collapsed="false">
      <c r="A30" s="4" t="s">
        <v>30</v>
      </c>
      <c r="B30" s="10" t="n">
        <f aca="false">SUMIFS(Activites!$F$2:$F$189,Activites!$C$2:$C$189,$A30)/60</f>
        <v>41.85</v>
      </c>
      <c r="C30" s="11" t="n">
        <f aca="false">COUNTIFS(Intentions!$C$2:$C$344,$A30)</f>
        <v>22</v>
      </c>
      <c r="D30" s="12" t="n">
        <f aca="false">IFERROR(SUMIFS(Intentions!$K$2:$K$344,Intentions!$C$2:$C$344,$A30)/COUNTIFS(Intentions!$C$2:$C$344,$A30,Intentions!$H$2:$H$344,"&lt;&gt;Prévu"),"")</f>
        <v>0.340909090909091</v>
      </c>
      <c r="E30" s="12" t="n">
        <f aca="false">IFERROR(B30/$B$12,"")</f>
        <v>0.26504116529449</v>
      </c>
    </row>
    <row r="33" customFormat="false" ht="15" hidden="false" customHeight="false" outlineLevel="0" collapsed="false">
      <c r="A33" s="3" t="s">
        <v>31</v>
      </c>
    </row>
    <row r="34" customFormat="false" ht="15" hidden="false" customHeight="false" outlineLevel="0" collapsed="false">
      <c r="A34" s="13" t="s">
        <v>32</v>
      </c>
      <c r="B34" s="14" t="s">
        <v>33</v>
      </c>
    </row>
    <row r="35" customFormat="false" ht="15" hidden="false" customHeight="false" outlineLevel="0" collapsed="false">
      <c r="A35" s="13" t="s">
        <v>34</v>
      </c>
      <c r="B35" s="14" t="s">
        <v>35</v>
      </c>
    </row>
    <row r="36" customFormat="false" ht="15" hidden="false" customHeight="false" outlineLevel="0" collapsed="false">
      <c r="A36" s="13" t="s">
        <v>36</v>
      </c>
      <c r="B36" s="14" t="s">
        <v>37</v>
      </c>
    </row>
    <row r="37" customFormat="false" ht="15" hidden="false" customHeight="false" outlineLevel="0" collapsed="false">
      <c r="A37" s="13" t="s">
        <v>38</v>
      </c>
      <c r="B37" s="14" t="s">
        <v>39</v>
      </c>
    </row>
    <row r="38" customFormat="false" ht="15" hidden="false" customHeight="false" outlineLevel="0" collapsed="false">
      <c r="A38" s="13" t="s">
        <v>40</v>
      </c>
      <c r="B38" s="14" t="s">
        <v>41</v>
      </c>
    </row>
    <row r="39" customFormat="false" ht="15" hidden="false" customHeight="false" outlineLevel="0" collapsed="false">
      <c r="A39" s="13" t="s">
        <v>42</v>
      </c>
      <c r="B39" s="14" t="s">
        <v>43</v>
      </c>
    </row>
    <row r="40" customFormat="false" ht="15" hidden="false" customHeight="false" outlineLevel="0" collapsed="false">
      <c r="A40" s="13" t="s">
        <v>44</v>
      </c>
      <c r="B40" s="14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E00"/>
    <pageSetUpPr fitToPage="false"/>
  </sheetPr>
  <dimension ref="A1:AA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6" min="3" style="0" width="10"/>
    <col collapsed="false" customWidth="true" hidden="false" outlineLevel="0" max="16" min="7" style="0" width="12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0" min="20" style="0" width="10"/>
    <col collapsed="false" customWidth="true" hidden="false" outlineLevel="0" max="22" min="21" style="0" width="9"/>
    <col collapsed="false" customWidth="true" hidden="false" outlineLevel="0" max="24" min="23" style="0" width="10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false" outlineLevel="0" max="27" min="27" style="0" width="40"/>
  </cols>
  <sheetData>
    <row r="1" customFormat="false" ht="30" hidden="false" customHeight="true" outlineLevel="0" collapsed="false">
      <c r="A1" s="9" t="s">
        <v>46</v>
      </c>
      <c r="B1" s="9" t="s">
        <v>47</v>
      </c>
      <c r="C1" s="9" t="s">
        <v>48</v>
      </c>
      <c r="D1" s="9" t="s">
        <v>22</v>
      </c>
      <c r="E1" s="9" t="s">
        <v>49</v>
      </c>
      <c r="F1" s="9" t="s">
        <v>50</v>
      </c>
      <c r="G1" s="9" t="s">
        <v>9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9" t="s">
        <v>56</v>
      </c>
      <c r="N1" s="9" t="s">
        <v>57</v>
      </c>
      <c r="O1" s="9" t="s">
        <v>58</v>
      </c>
      <c r="P1" s="9" t="s">
        <v>59</v>
      </c>
      <c r="Q1" s="9" t="s">
        <v>60</v>
      </c>
      <c r="R1" s="9" t="s">
        <v>61</v>
      </c>
      <c r="S1" s="9" t="s">
        <v>62</v>
      </c>
      <c r="T1" s="9" t="s">
        <v>63</v>
      </c>
      <c r="U1" s="9" t="s">
        <v>64</v>
      </c>
      <c r="V1" s="9" t="s">
        <v>65</v>
      </c>
      <c r="W1" s="9" t="s">
        <v>66</v>
      </c>
      <c r="X1" s="9" t="s">
        <v>67</v>
      </c>
      <c r="Y1" s="9" t="s">
        <v>68</v>
      </c>
      <c r="Z1" s="9" t="s">
        <v>69</v>
      </c>
      <c r="AA1" s="9" t="s">
        <v>70</v>
      </c>
    </row>
    <row r="2" customFormat="false" ht="15" hidden="false" customHeight="false" outlineLevel="0" collapsed="false">
      <c r="A2" s="15" t="n">
        <v>46216</v>
      </c>
      <c r="B2" s="4" t="str">
        <f aca="false">INDEX({"Lundi","Mardi","Mercredi","Jeudi","Vendredi","Samedi","Dimanche"},WEEKDAY($A2,2))</f>
        <v>Lundi</v>
      </c>
      <c r="C2" s="4" t="s">
        <v>71</v>
      </c>
      <c r="D2" s="11" t="n">
        <f aca="false">COUNTIFS(Intentions!$B$2:$B$344,$A2)</f>
        <v>2</v>
      </c>
      <c r="E2" s="11" t="n">
        <f aca="false">COUNTIFS(Intentions!$B$2:$B$344,$A2,Intentions!$H$2:$H$344,"&lt;&gt;Prévu")</f>
        <v>2</v>
      </c>
      <c r="F2" s="11" t="n">
        <f aca="false">COUNTIFS(Intentions!$B$2:$B$344,$A2,Intentions!$H$2:$H$344,"Réalisé")+COUNTIFS(Intentions!$B$2:$B$344,$A2,Intentions!$H$2:$H$344,"Partiel")</f>
        <v>1</v>
      </c>
      <c r="G2" s="12" t="n">
        <f aca="false">IF(E2=0,"",SUMIFS(Intentions!$K$2:$K$344,Intentions!$B$2:$B$344,$A2)/E2)</f>
        <v>0.5</v>
      </c>
      <c r="H2" s="11" t="n">
        <f aca="false">SUMIFS(Intentions!$G$2:$G$344,Intentions!$B$2:$B$344,$A2)</f>
        <v>180</v>
      </c>
      <c r="I2" s="11" t="n">
        <f aca="false">SUMIFS(Activites!$F$2:$F$189,Activites!$B$2:$B$189,$A2)</f>
        <v>63</v>
      </c>
      <c r="J2" s="11" t="n">
        <f aca="false">SUMIFS(Activites!$F$2:$F$189,Activites!$B$2:$B$189,$A2,Activites!$C$2:$C$189,"Spirituel")</f>
        <v>0</v>
      </c>
      <c r="K2" s="11" t="n">
        <f aca="false">SUMIFS(Activites!$F$2:$F$189,Activites!$B$2:$B$189,$A2,Activites!$C$2:$C$189,"Physique")</f>
        <v>0</v>
      </c>
      <c r="L2" s="11" t="n">
        <f aca="false">SUMIFS(Activites!$F$2:$F$189,Activites!$B$2:$B$189,$A2,Activites!$C$2:$C$189,"Études")</f>
        <v>63</v>
      </c>
      <c r="M2" s="11" t="n">
        <f aca="false">SUMIFS(Activites!$F$2:$F$189,Activites!$B$2:$B$189,$A2,Activites!$C$2:$C$189,"Professionnel")</f>
        <v>0</v>
      </c>
      <c r="N2" s="11" t="n">
        <f aca="false">SUMIFS(Activites!$F$2:$F$189,Activites!$B$2:$B$189,$A2,Activites!$C$2:$C$189,"Personnel")</f>
        <v>0</v>
      </c>
      <c r="O2" s="11" t="n">
        <f aca="false">SUMIFS(Activites!$F$2:$F$189,Activites!$B$2:$B$189,$A2,Activites!$C$2:$C$189,"Relationnel")</f>
        <v>0</v>
      </c>
      <c r="P2" s="11" t="n">
        <f aca="false">SUMIFS(Activites!$F$2:$F$189,Activites!$B$2:$B$189,$A2,Activites!$C$2:$C$189,"Loisirs et créativité")</f>
        <v>0</v>
      </c>
      <c r="Q2" s="10" t="n">
        <v>6</v>
      </c>
      <c r="R2" s="11"/>
      <c r="S2" s="11" t="n">
        <v>3</v>
      </c>
      <c r="T2" s="11" t="n">
        <v>3</v>
      </c>
      <c r="U2" s="11" t="n">
        <v>3</v>
      </c>
      <c r="V2" s="11" t="n">
        <v>2</v>
      </c>
      <c r="W2" s="11" t="n">
        <v>248</v>
      </c>
      <c r="X2" s="16" t="n">
        <v>9301</v>
      </c>
      <c r="Y2" s="10" t="n">
        <v>1.9</v>
      </c>
      <c r="Z2" s="11" t="n">
        <f aca="false">COUNTIFS(Reflexions!$A$2:$A$57,$A2)</f>
        <v>0</v>
      </c>
      <c r="AA2" s="17"/>
    </row>
    <row r="3" customFormat="false" ht="15" hidden="false" customHeight="false" outlineLevel="0" collapsed="false">
      <c r="A3" s="15" t="n">
        <v>46217</v>
      </c>
      <c r="B3" s="4" t="str">
        <f aca="false">INDEX({"Lundi","Mardi","Mercredi","Jeudi","Vendredi","Samedi","Dimanche"},WEEKDAY($A3,2))</f>
        <v>Mardi</v>
      </c>
      <c r="C3" s="4" t="s">
        <v>71</v>
      </c>
      <c r="D3" s="11" t="n">
        <f aca="false">COUNTIFS(Intentions!$B$2:$B$344,$A3)</f>
        <v>3</v>
      </c>
      <c r="E3" s="11" t="n">
        <f aca="false">COUNTIFS(Intentions!$B$2:$B$344,$A3,Intentions!$H$2:$H$344,"&lt;&gt;Prévu")</f>
        <v>3</v>
      </c>
      <c r="F3" s="11" t="n">
        <f aca="false">COUNTIFS(Intentions!$B$2:$B$344,$A3,Intentions!$H$2:$H$344,"Réalisé")+COUNTIFS(Intentions!$B$2:$B$344,$A3,Intentions!$H$2:$H$344,"Partiel")</f>
        <v>0</v>
      </c>
      <c r="G3" s="12" t="n">
        <f aca="false">IF(E3=0,"",SUMIFS(Intentions!$K$2:$K$344,Intentions!$B$2:$B$344,$A3)/E3)</f>
        <v>0</v>
      </c>
      <c r="H3" s="11" t="n">
        <f aca="false">SUMIFS(Intentions!$G$2:$G$344,Intentions!$B$2:$B$344,$A3)</f>
        <v>100</v>
      </c>
      <c r="I3" s="11" t="n">
        <f aca="false">SUMIFS(Activites!$F$2:$F$189,Activites!$B$2:$B$189,$A3)</f>
        <v>0</v>
      </c>
      <c r="J3" s="11" t="n">
        <f aca="false">SUMIFS(Activites!$F$2:$F$189,Activites!$B$2:$B$189,$A3,Activites!$C$2:$C$189,"Spirituel")</f>
        <v>0</v>
      </c>
      <c r="K3" s="11" t="n">
        <f aca="false">SUMIFS(Activites!$F$2:$F$189,Activites!$B$2:$B$189,$A3,Activites!$C$2:$C$189,"Physique")</f>
        <v>0</v>
      </c>
      <c r="L3" s="11" t="n">
        <f aca="false">SUMIFS(Activites!$F$2:$F$189,Activites!$B$2:$B$189,$A3,Activites!$C$2:$C$189,"Études")</f>
        <v>0</v>
      </c>
      <c r="M3" s="11" t="n">
        <f aca="false">SUMIFS(Activites!$F$2:$F$189,Activites!$B$2:$B$189,$A3,Activites!$C$2:$C$189,"Professionnel")</f>
        <v>0</v>
      </c>
      <c r="N3" s="11" t="n">
        <f aca="false">SUMIFS(Activites!$F$2:$F$189,Activites!$B$2:$B$189,$A3,Activites!$C$2:$C$189,"Personnel")</f>
        <v>0</v>
      </c>
      <c r="O3" s="11" t="n">
        <f aca="false">SUMIFS(Activites!$F$2:$F$189,Activites!$B$2:$B$189,$A3,Activites!$C$2:$C$189,"Relationnel")</f>
        <v>0</v>
      </c>
      <c r="P3" s="11" t="n">
        <f aca="false">SUMIFS(Activites!$F$2:$F$189,Activites!$B$2:$B$189,$A3,Activites!$C$2:$C$189,"Loisirs et créativité")</f>
        <v>0</v>
      </c>
      <c r="Q3" s="10" t="n">
        <v>6.6</v>
      </c>
      <c r="R3" s="11"/>
      <c r="S3" s="11" t="n">
        <v>2</v>
      </c>
      <c r="T3" s="11" t="n">
        <v>2</v>
      </c>
      <c r="U3" s="11" t="n">
        <v>3</v>
      </c>
      <c r="V3" s="11" t="n">
        <v>3</v>
      </c>
      <c r="W3" s="11" t="n">
        <v>200</v>
      </c>
      <c r="X3" s="16" t="n">
        <v>11461</v>
      </c>
      <c r="Y3" s="10" t="n">
        <v>2.5</v>
      </c>
      <c r="Z3" s="11" t="n">
        <f aca="false">COUNTIFS(Reflexions!$A$2:$A$57,$A3)</f>
        <v>1</v>
      </c>
      <c r="AA3" s="17"/>
    </row>
    <row r="4" customFormat="false" ht="15" hidden="false" customHeight="false" outlineLevel="0" collapsed="false">
      <c r="A4" s="15" t="n">
        <v>46218</v>
      </c>
      <c r="B4" s="4" t="str">
        <f aca="false">INDEX({"Lundi","Mardi","Mercredi","Jeudi","Vendredi","Samedi","Dimanche"},WEEKDAY($A4,2))</f>
        <v>Mercredi</v>
      </c>
      <c r="C4" s="4" t="s">
        <v>71</v>
      </c>
      <c r="D4" s="11" t="n">
        <f aca="false">COUNTIFS(Intentions!$B$2:$B$344,$A4)</f>
        <v>3</v>
      </c>
      <c r="E4" s="11" t="n">
        <f aca="false">COUNTIFS(Intentions!$B$2:$B$344,$A4,Intentions!$H$2:$H$344,"&lt;&gt;Prévu")</f>
        <v>3</v>
      </c>
      <c r="F4" s="11" t="n">
        <f aca="false">COUNTIFS(Intentions!$B$2:$B$344,$A4,Intentions!$H$2:$H$344,"Réalisé")+COUNTIFS(Intentions!$B$2:$B$344,$A4,Intentions!$H$2:$H$344,"Partiel")</f>
        <v>3</v>
      </c>
      <c r="G4" s="12" t="n">
        <f aca="false">IF(E4=0,"",SUMIFS(Intentions!$K$2:$K$344,Intentions!$B$2:$B$344,$A4)/E4)</f>
        <v>1</v>
      </c>
      <c r="H4" s="11" t="n">
        <f aca="false">SUMIFS(Intentions!$G$2:$G$344,Intentions!$B$2:$B$344,$A4)</f>
        <v>130</v>
      </c>
      <c r="I4" s="11" t="n">
        <f aca="false">SUMIFS(Activites!$F$2:$F$189,Activites!$B$2:$B$189,$A4)</f>
        <v>182</v>
      </c>
      <c r="J4" s="11" t="n">
        <f aca="false">SUMIFS(Activites!$F$2:$F$189,Activites!$B$2:$B$189,$A4,Activites!$C$2:$C$189,"Spirituel")</f>
        <v>0</v>
      </c>
      <c r="K4" s="11" t="n">
        <f aca="false">SUMIFS(Activites!$F$2:$F$189,Activites!$B$2:$B$189,$A4,Activites!$C$2:$C$189,"Physique")</f>
        <v>35</v>
      </c>
      <c r="L4" s="11" t="n">
        <f aca="false">SUMIFS(Activites!$F$2:$F$189,Activites!$B$2:$B$189,$A4,Activites!$C$2:$C$189,"Études")</f>
        <v>116</v>
      </c>
      <c r="M4" s="11" t="n">
        <f aca="false">SUMIFS(Activites!$F$2:$F$189,Activites!$B$2:$B$189,$A4,Activites!$C$2:$C$189,"Professionnel")</f>
        <v>0</v>
      </c>
      <c r="N4" s="11" t="n">
        <f aca="false">SUMIFS(Activites!$F$2:$F$189,Activites!$B$2:$B$189,$A4,Activites!$C$2:$C$189,"Personnel")</f>
        <v>0</v>
      </c>
      <c r="O4" s="11" t="n">
        <f aca="false">SUMIFS(Activites!$F$2:$F$189,Activites!$B$2:$B$189,$A4,Activites!$C$2:$C$189,"Relationnel")</f>
        <v>0</v>
      </c>
      <c r="P4" s="11" t="n">
        <f aca="false">SUMIFS(Activites!$F$2:$F$189,Activites!$B$2:$B$189,$A4,Activites!$C$2:$C$189,"Loisirs et créativité")</f>
        <v>31</v>
      </c>
      <c r="Q4" s="10" t="n">
        <v>8.1</v>
      </c>
      <c r="R4" s="11"/>
      <c r="S4" s="11" t="n">
        <v>5</v>
      </c>
      <c r="T4" s="11" t="n">
        <v>5</v>
      </c>
      <c r="U4" s="11" t="n">
        <v>4</v>
      </c>
      <c r="V4" s="11" t="n">
        <v>3</v>
      </c>
      <c r="W4" s="11" t="n">
        <v>195</v>
      </c>
      <c r="X4" s="16" t="n">
        <v>10098</v>
      </c>
      <c r="Y4" s="10" t="n">
        <v>1.7</v>
      </c>
      <c r="Z4" s="11" t="n">
        <f aca="false">COUNTIFS(Reflexions!$A$2:$A$57,$A4)</f>
        <v>1</v>
      </c>
      <c r="AA4" s="17"/>
    </row>
    <row r="5" customFormat="false" ht="15" hidden="false" customHeight="false" outlineLevel="0" collapsed="false">
      <c r="A5" s="15" t="n">
        <v>46219</v>
      </c>
      <c r="B5" s="4" t="str">
        <f aca="false">INDEX({"Lundi","Mardi","Mercredi","Jeudi","Vendredi","Samedi","Dimanche"},WEEKDAY($A5,2))</f>
        <v>Jeudi</v>
      </c>
      <c r="C5" s="4" t="s">
        <v>71</v>
      </c>
      <c r="D5" s="11" t="n">
        <f aca="false">COUNTIFS(Intentions!$B$2:$B$344,$A5)</f>
        <v>6</v>
      </c>
      <c r="E5" s="11" t="n">
        <f aca="false">COUNTIFS(Intentions!$B$2:$B$344,$A5,Intentions!$H$2:$H$344,"&lt;&gt;Prévu")</f>
        <v>6</v>
      </c>
      <c r="F5" s="11" t="n">
        <f aca="false">COUNTIFS(Intentions!$B$2:$B$344,$A5,Intentions!$H$2:$H$344,"Réalisé")+COUNTIFS(Intentions!$B$2:$B$344,$A5,Intentions!$H$2:$H$344,"Partiel")</f>
        <v>3</v>
      </c>
      <c r="G5" s="12" t="n">
        <f aca="false">IF(E5=0,"",SUMIFS(Intentions!$K$2:$K$344,Intentions!$B$2:$B$344,$A5)/E5)</f>
        <v>0.5</v>
      </c>
      <c r="H5" s="11" t="n">
        <f aca="false">SUMIFS(Intentions!$G$2:$G$344,Intentions!$B$2:$B$344,$A5)</f>
        <v>205</v>
      </c>
      <c r="I5" s="11" t="n">
        <f aca="false">SUMIFS(Activites!$F$2:$F$189,Activites!$B$2:$B$189,$A5)</f>
        <v>149</v>
      </c>
      <c r="J5" s="11" t="n">
        <f aca="false">SUMIFS(Activites!$F$2:$F$189,Activites!$B$2:$B$189,$A5,Activites!$C$2:$C$189,"Spirituel")</f>
        <v>44</v>
      </c>
      <c r="K5" s="11" t="n">
        <f aca="false">SUMIFS(Activites!$F$2:$F$189,Activites!$B$2:$B$189,$A5,Activites!$C$2:$C$189,"Physique")</f>
        <v>0</v>
      </c>
      <c r="L5" s="11" t="n">
        <f aca="false">SUMIFS(Activites!$F$2:$F$189,Activites!$B$2:$B$189,$A5,Activites!$C$2:$C$189,"Études")</f>
        <v>0</v>
      </c>
      <c r="M5" s="11" t="n">
        <f aca="false">SUMIFS(Activites!$F$2:$F$189,Activites!$B$2:$B$189,$A5,Activites!$C$2:$C$189,"Professionnel")</f>
        <v>0</v>
      </c>
      <c r="N5" s="11" t="n">
        <f aca="false">SUMIFS(Activites!$F$2:$F$189,Activites!$B$2:$B$189,$A5,Activites!$C$2:$C$189,"Personnel")</f>
        <v>15</v>
      </c>
      <c r="O5" s="11" t="n">
        <f aca="false">SUMIFS(Activites!$F$2:$F$189,Activites!$B$2:$B$189,$A5,Activites!$C$2:$C$189,"Relationnel")</f>
        <v>0</v>
      </c>
      <c r="P5" s="11" t="n">
        <f aca="false">SUMIFS(Activites!$F$2:$F$189,Activites!$B$2:$B$189,$A5,Activites!$C$2:$C$189,"Loisirs et créativité")</f>
        <v>90</v>
      </c>
      <c r="Q5" s="10" t="n">
        <v>4.9</v>
      </c>
      <c r="R5" s="11"/>
      <c r="S5" s="11" t="n">
        <v>3</v>
      </c>
      <c r="T5" s="11" t="n">
        <v>3</v>
      </c>
      <c r="U5" s="11" t="n">
        <v>3</v>
      </c>
      <c r="V5" s="11" t="n">
        <v>2</v>
      </c>
      <c r="W5" s="11" t="n">
        <v>188</v>
      </c>
      <c r="X5" s="16" t="n">
        <v>8331</v>
      </c>
      <c r="Y5" s="10" t="n">
        <v>1.6</v>
      </c>
      <c r="Z5" s="11" t="n">
        <f aca="false">COUNTIFS(Reflexions!$A$2:$A$57,$A5)</f>
        <v>1</v>
      </c>
      <c r="AA5" s="17"/>
    </row>
    <row r="6" customFormat="false" ht="15" hidden="false" customHeight="false" outlineLevel="0" collapsed="false">
      <c r="A6" s="15" t="n">
        <v>46220</v>
      </c>
      <c r="B6" s="4" t="str">
        <f aca="false">INDEX({"Lundi","Mardi","Mercredi","Jeudi","Vendredi","Samedi","Dimanche"},WEEKDAY($A6,2))</f>
        <v>Vendredi</v>
      </c>
      <c r="C6" s="4" t="s">
        <v>72</v>
      </c>
      <c r="D6" s="11" t="n">
        <f aca="false">COUNTIFS(Intentions!$B$2:$B$344,$A6)</f>
        <v>0</v>
      </c>
      <c r="E6" s="11" t="n">
        <f aca="false">COUNTIFS(Intentions!$B$2:$B$344,$A6,Intentions!$H$2:$H$344,"&lt;&gt;Prévu")</f>
        <v>0</v>
      </c>
      <c r="F6" s="11" t="n">
        <f aca="false">COUNTIFS(Intentions!$B$2:$B$344,$A6,Intentions!$H$2:$H$344,"Réalisé")+COUNTIFS(Intentions!$B$2:$B$344,$A6,Intentions!$H$2:$H$344,"Partiel")</f>
        <v>0</v>
      </c>
      <c r="G6" s="12" t="str">
        <f aca="false">IF(E6=0,"",SUMIFS(Intentions!$K$2:$K$344,Intentions!$B$2:$B$344,$A6)/E6)</f>
        <v/>
      </c>
      <c r="H6" s="11" t="n">
        <f aca="false">SUMIFS(Intentions!$G$2:$G$344,Intentions!$B$2:$B$344,$A6)</f>
        <v>0</v>
      </c>
      <c r="I6" s="11" t="n">
        <f aca="false">SUMIFS(Activites!$F$2:$F$189,Activites!$B$2:$B$189,$A6)</f>
        <v>0</v>
      </c>
      <c r="J6" s="11" t="n">
        <f aca="false">SUMIFS(Activites!$F$2:$F$189,Activites!$B$2:$B$189,$A6,Activites!$C$2:$C$189,"Spirituel")</f>
        <v>0</v>
      </c>
      <c r="K6" s="11" t="n">
        <f aca="false">SUMIFS(Activites!$F$2:$F$189,Activites!$B$2:$B$189,$A6,Activites!$C$2:$C$189,"Physique")</f>
        <v>0</v>
      </c>
      <c r="L6" s="11" t="n">
        <f aca="false">SUMIFS(Activites!$F$2:$F$189,Activites!$B$2:$B$189,$A6,Activites!$C$2:$C$189,"Études")</f>
        <v>0</v>
      </c>
      <c r="M6" s="11" t="n">
        <f aca="false">SUMIFS(Activites!$F$2:$F$189,Activites!$B$2:$B$189,$A6,Activites!$C$2:$C$189,"Professionnel")</f>
        <v>0</v>
      </c>
      <c r="N6" s="11" t="n">
        <f aca="false">SUMIFS(Activites!$F$2:$F$189,Activites!$B$2:$B$189,$A6,Activites!$C$2:$C$189,"Personnel")</f>
        <v>0</v>
      </c>
      <c r="O6" s="11" t="n">
        <f aca="false">SUMIFS(Activites!$F$2:$F$189,Activites!$B$2:$B$189,$A6,Activites!$C$2:$C$189,"Relationnel")</f>
        <v>0</v>
      </c>
      <c r="P6" s="11" t="n">
        <f aca="false">SUMIFS(Activites!$F$2:$F$189,Activites!$B$2:$B$189,$A6,Activites!$C$2:$C$189,"Loisirs et créativité")</f>
        <v>0</v>
      </c>
      <c r="Q6" s="10"/>
      <c r="R6" s="11"/>
      <c r="S6" s="11"/>
      <c r="T6" s="11"/>
      <c r="U6" s="11"/>
      <c r="V6" s="11"/>
      <c r="W6" s="11"/>
      <c r="X6" s="16"/>
      <c r="Y6" s="10"/>
      <c r="Z6" s="11" t="n">
        <f aca="false">COUNTIFS(Reflexions!$A$2:$A$57,$A6)</f>
        <v>0</v>
      </c>
      <c r="AA6" s="17"/>
    </row>
    <row r="7" customFormat="false" ht="15" hidden="false" customHeight="false" outlineLevel="0" collapsed="false">
      <c r="A7" s="15" t="n">
        <v>46221</v>
      </c>
      <c r="B7" s="4" t="str">
        <f aca="false">INDEX({"Lundi","Mardi","Mercredi","Jeudi","Vendredi","Samedi","Dimanche"},WEEKDAY($A7,2))</f>
        <v>Samedi</v>
      </c>
      <c r="C7" s="4" t="s">
        <v>71</v>
      </c>
      <c r="D7" s="11" t="n">
        <f aca="false">COUNTIFS(Intentions!$B$2:$B$344,$A7)</f>
        <v>3</v>
      </c>
      <c r="E7" s="11" t="n">
        <f aca="false">COUNTIFS(Intentions!$B$2:$B$344,$A7,Intentions!$H$2:$H$344,"&lt;&gt;Prévu")</f>
        <v>3</v>
      </c>
      <c r="F7" s="11" t="n">
        <f aca="false">COUNTIFS(Intentions!$B$2:$B$344,$A7,Intentions!$H$2:$H$344,"Réalisé")+COUNTIFS(Intentions!$B$2:$B$344,$A7,Intentions!$H$2:$H$344,"Partiel")</f>
        <v>2</v>
      </c>
      <c r="G7" s="12" t="n">
        <f aca="false">IF(E7=0,"",SUMIFS(Intentions!$K$2:$K$344,Intentions!$B$2:$B$344,$A7)/E7)</f>
        <v>0.5</v>
      </c>
      <c r="H7" s="11" t="n">
        <f aca="false">SUMIFS(Intentions!$G$2:$G$344,Intentions!$B$2:$B$344,$A7)</f>
        <v>120</v>
      </c>
      <c r="I7" s="11" t="n">
        <f aca="false">SUMIFS(Activites!$F$2:$F$189,Activites!$B$2:$B$189,$A7)</f>
        <v>210</v>
      </c>
      <c r="J7" s="11" t="n">
        <f aca="false">SUMIFS(Activites!$F$2:$F$189,Activites!$B$2:$B$189,$A7,Activites!$C$2:$C$189,"Spirituel")</f>
        <v>12</v>
      </c>
      <c r="K7" s="11" t="n">
        <f aca="false">SUMIFS(Activites!$F$2:$F$189,Activites!$B$2:$B$189,$A7,Activites!$C$2:$C$189,"Physique")</f>
        <v>0</v>
      </c>
      <c r="L7" s="11" t="n">
        <f aca="false">SUMIFS(Activites!$F$2:$F$189,Activites!$B$2:$B$189,$A7,Activites!$C$2:$C$189,"Études")</f>
        <v>78</v>
      </c>
      <c r="M7" s="11" t="n">
        <f aca="false">SUMIFS(Activites!$F$2:$F$189,Activites!$B$2:$B$189,$A7,Activites!$C$2:$C$189,"Professionnel")</f>
        <v>0</v>
      </c>
      <c r="N7" s="11" t="n">
        <f aca="false">SUMIFS(Activites!$F$2:$F$189,Activites!$B$2:$B$189,$A7,Activites!$C$2:$C$189,"Personnel")</f>
        <v>0</v>
      </c>
      <c r="O7" s="11" t="n">
        <f aca="false">SUMIFS(Activites!$F$2:$F$189,Activites!$B$2:$B$189,$A7,Activites!$C$2:$C$189,"Relationnel")</f>
        <v>0</v>
      </c>
      <c r="P7" s="11" t="n">
        <f aca="false">SUMIFS(Activites!$F$2:$F$189,Activites!$B$2:$B$189,$A7,Activites!$C$2:$C$189,"Loisirs et créativité")</f>
        <v>120</v>
      </c>
      <c r="Q7" s="10" t="n">
        <v>6.9</v>
      </c>
      <c r="R7" s="11"/>
      <c r="S7" s="11" t="n">
        <v>3</v>
      </c>
      <c r="T7" s="11" t="n">
        <v>2</v>
      </c>
      <c r="U7" s="11" t="n">
        <v>3</v>
      </c>
      <c r="V7" s="11" t="n">
        <v>5</v>
      </c>
      <c r="W7" s="11" t="n">
        <v>277</v>
      </c>
      <c r="X7" s="16" t="n">
        <v>9769</v>
      </c>
      <c r="Y7" s="10" t="n">
        <v>1.8</v>
      </c>
      <c r="Z7" s="11" t="n">
        <f aca="false">COUNTIFS(Reflexions!$A$2:$A$57,$A7)</f>
        <v>1</v>
      </c>
      <c r="AA7" s="17"/>
    </row>
    <row r="8" customFormat="false" ht="15" hidden="false" customHeight="false" outlineLevel="0" collapsed="false">
      <c r="A8" s="15" t="n">
        <v>46222</v>
      </c>
      <c r="B8" s="4" t="str">
        <f aca="false">INDEX({"Lundi","Mardi","Mercredi","Jeudi","Vendredi","Samedi","Dimanche"},WEEKDAY($A8,2))</f>
        <v>Dimanche</v>
      </c>
      <c r="C8" s="4" t="s">
        <v>71</v>
      </c>
      <c r="D8" s="11" t="n">
        <f aca="false">COUNTIFS(Intentions!$B$2:$B$344,$A8)</f>
        <v>4</v>
      </c>
      <c r="E8" s="11" t="n">
        <f aca="false">COUNTIFS(Intentions!$B$2:$B$344,$A8,Intentions!$H$2:$H$344,"&lt;&gt;Prévu")</f>
        <v>4</v>
      </c>
      <c r="F8" s="11" t="n">
        <f aca="false">COUNTIFS(Intentions!$B$2:$B$344,$A8,Intentions!$H$2:$H$344,"Réalisé")+COUNTIFS(Intentions!$B$2:$B$344,$A8,Intentions!$H$2:$H$344,"Partiel")</f>
        <v>3</v>
      </c>
      <c r="G8" s="12" t="n">
        <f aca="false">IF(E8=0,"",SUMIFS(Intentions!$K$2:$K$344,Intentions!$B$2:$B$344,$A8)/E8)</f>
        <v>0.75</v>
      </c>
      <c r="H8" s="11" t="n">
        <f aca="false">SUMIFS(Intentions!$G$2:$G$344,Intentions!$B$2:$B$344,$A8)</f>
        <v>180</v>
      </c>
      <c r="I8" s="11" t="n">
        <f aca="false">SUMIFS(Activites!$F$2:$F$189,Activites!$B$2:$B$189,$A8)</f>
        <v>176</v>
      </c>
      <c r="J8" s="11" t="n">
        <f aca="false">SUMIFS(Activites!$F$2:$F$189,Activites!$B$2:$B$189,$A8,Activites!$C$2:$C$189,"Spirituel")</f>
        <v>21</v>
      </c>
      <c r="K8" s="11" t="n">
        <f aca="false">SUMIFS(Activites!$F$2:$F$189,Activites!$B$2:$B$189,$A8,Activites!$C$2:$C$189,"Physique")</f>
        <v>0</v>
      </c>
      <c r="L8" s="11" t="n">
        <f aca="false">SUMIFS(Activites!$F$2:$F$189,Activites!$B$2:$B$189,$A8,Activites!$C$2:$C$189,"Études")</f>
        <v>155</v>
      </c>
      <c r="M8" s="11" t="n">
        <f aca="false">SUMIFS(Activites!$F$2:$F$189,Activites!$B$2:$B$189,$A8,Activites!$C$2:$C$189,"Professionnel")</f>
        <v>0</v>
      </c>
      <c r="N8" s="11" t="n">
        <f aca="false">SUMIFS(Activites!$F$2:$F$189,Activites!$B$2:$B$189,$A8,Activites!$C$2:$C$189,"Personnel")</f>
        <v>0</v>
      </c>
      <c r="O8" s="11" t="n">
        <f aca="false">SUMIFS(Activites!$F$2:$F$189,Activites!$B$2:$B$189,$A8,Activites!$C$2:$C$189,"Relationnel")</f>
        <v>0</v>
      </c>
      <c r="P8" s="11" t="n">
        <f aca="false">SUMIFS(Activites!$F$2:$F$189,Activites!$B$2:$B$189,$A8,Activites!$C$2:$C$189,"Loisirs et créativité")</f>
        <v>0</v>
      </c>
      <c r="Q8" s="10" t="n">
        <v>8.9</v>
      </c>
      <c r="R8" s="11"/>
      <c r="S8" s="11" t="n">
        <v>5</v>
      </c>
      <c r="T8" s="11" t="n">
        <v>5</v>
      </c>
      <c r="U8" s="11" t="n">
        <v>4</v>
      </c>
      <c r="V8" s="11" t="n">
        <v>2</v>
      </c>
      <c r="W8" s="11" t="n">
        <v>179</v>
      </c>
      <c r="X8" s="16" t="n">
        <v>5493</v>
      </c>
      <c r="Y8" s="10" t="n">
        <v>1.4</v>
      </c>
      <c r="Z8" s="11" t="n">
        <f aca="false">COUNTIFS(Reflexions!$A$2:$A$57,$A8)</f>
        <v>0</v>
      </c>
      <c r="AA8" s="17"/>
    </row>
    <row r="9" customFormat="false" ht="15" hidden="false" customHeight="false" outlineLevel="0" collapsed="false">
      <c r="A9" s="15" t="n">
        <v>46223</v>
      </c>
      <c r="B9" s="4" t="str">
        <f aca="false">INDEX({"Lundi","Mardi","Mercredi","Jeudi","Vendredi","Samedi","Dimanche"},WEEKDAY($A9,2))</f>
        <v>Lundi</v>
      </c>
      <c r="C9" s="4" t="s">
        <v>71</v>
      </c>
      <c r="D9" s="11" t="n">
        <f aca="false">COUNTIFS(Intentions!$B$2:$B$344,$A9)</f>
        <v>3</v>
      </c>
      <c r="E9" s="11" t="n">
        <f aca="false">COUNTIFS(Intentions!$B$2:$B$344,$A9,Intentions!$H$2:$H$344,"&lt;&gt;Prévu")</f>
        <v>3</v>
      </c>
      <c r="F9" s="11" t="n">
        <f aca="false">COUNTIFS(Intentions!$B$2:$B$344,$A9,Intentions!$H$2:$H$344,"Réalisé")+COUNTIFS(Intentions!$B$2:$B$344,$A9,Intentions!$H$2:$H$344,"Partiel")</f>
        <v>1</v>
      </c>
      <c r="G9" s="12" t="n">
        <f aca="false">IF(E9=0,"",SUMIFS(Intentions!$K$2:$K$344,Intentions!$B$2:$B$344,$A9)/E9)</f>
        <v>0.166666666666667</v>
      </c>
      <c r="H9" s="11" t="n">
        <f aca="false">SUMIFS(Intentions!$G$2:$G$344,Intentions!$B$2:$B$344,$A9)</f>
        <v>120</v>
      </c>
      <c r="I9" s="11" t="n">
        <f aca="false">SUMIFS(Activites!$F$2:$F$189,Activites!$B$2:$B$189,$A9)</f>
        <v>141</v>
      </c>
      <c r="J9" s="11" t="n">
        <f aca="false">SUMIFS(Activites!$F$2:$F$189,Activites!$B$2:$B$189,$A9,Activites!$C$2:$C$189,"Spirituel")</f>
        <v>0</v>
      </c>
      <c r="K9" s="11" t="n">
        <f aca="false">SUMIFS(Activites!$F$2:$F$189,Activites!$B$2:$B$189,$A9,Activites!$C$2:$C$189,"Physique")</f>
        <v>0</v>
      </c>
      <c r="L9" s="11" t="n">
        <f aca="false">SUMIFS(Activites!$F$2:$F$189,Activites!$B$2:$B$189,$A9,Activites!$C$2:$C$189,"Études")</f>
        <v>51</v>
      </c>
      <c r="M9" s="11" t="n">
        <f aca="false">SUMIFS(Activites!$F$2:$F$189,Activites!$B$2:$B$189,$A9,Activites!$C$2:$C$189,"Professionnel")</f>
        <v>0</v>
      </c>
      <c r="N9" s="11" t="n">
        <f aca="false">SUMIFS(Activites!$F$2:$F$189,Activites!$B$2:$B$189,$A9,Activites!$C$2:$C$189,"Personnel")</f>
        <v>0</v>
      </c>
      <c r="O9" s="11" t="n">
        <f aca="false">SUMIFS(Activites!$F$2:$F$189,Activites!$B$2:$B$189,$A9,Activites!$C$2:$C$189,"Relationnel")</f>
        <v>0</v>
      </c>
      <c r="P9" s="11" t="n">
        <f aca="false">SUMIFS(Activites!$F$2:$F$189,Activites!$B$2:$B$189,$A9,Activites!$C$2:$C$189,"Loisirs et créativité")</f>
        <v>90</v>
      </c>
      <c r="Q9" s="10" t="n">
        <v>5.7</v>
      </c>
      <c r="R9" s="11"/>
      <c r="S9" s="11" t="n">
        <v>1</v>
      </c>
      <c r="T9" s="11" t="n">
        <v>1</v>
      </c>
      <c r="U9" s="11" t="n">
        <v>3</v>
      </c>
      <c r="V9" s="11" t="n">
        <v>2</v>
      </c>
      <c r="W9" s="11" t="n">
        <v>179</v>
      </c>
      <c r="X9" s="16" t="n">
        <v>2663</v>
      </c>
      <c r="Y9" s="10" t="n">
        <v>1.9</v>
      </c>
      <c r="Z9" s="11" t="n">
        <f aca="false">COUNTIFS(Reflexions!$A$2:$A$57,$A9)</f>
        <v>1</v>
      </c>
      <c r="AA9" s="17" t="s">
        <v>73</v>
      </c>
    </row>
    <row r="10" customFormat="false" ht="15" hidden="false" customHeight="false" outlineLevel="0" collapsed="false">
      <c r="A10" s="15" t="n">
        <v>46224</v>
      </c>
      <c r="B10" s="4" t="str">
        <f aca="false">INDEX({"Lundi","Mardi","Mercredi","Jeudi","Vendredi","Samedi","Dimanche"},WEEKDAY($A10,2))</f>
        <v>Mardi</v>
      </c>
      <c r="C10" s="4" t="s">
        <v>71</v>
      </c>
      <c r="D10" s="11" t="n">
        <f aca="false">COUNTIFS(Intentions!$B$2:$B$344,$A10)</f>
        <v>3</v>
      </c>
      <c r="E10" s="11" t="n">
        <f aca="false">COUNTIFS(Intentions!$B$2:$B$344,$A10,Intentions!$H$2:$H$344,"&lt;&gt;Prévu")</f>
        <v>3</v>
      </c>
      <c r="F10" s="11" t="n">
        <f aca="false">COUNTIFS(Intentions!$B$2:$B$344,$A10,Intentions!$H$2:$H$344,"Réalisé")+COUNTIFS(Intentions!$B$2:$B$344,$A10,Intentions!$H$2:$H$344,"Partiel")</f>
        <v>3</v>
      </c>
      <c r="G10" s="12" t="n">
        <f aca="false">IF(E10=0,"",SUMIFS(Intentions!$K$2:$K$344,Intentions!$B$2:$B$344,$A10)/E10)</f>
        <v>1</v>
      </c>
      <c r="H10" s="11" t="n">
        <f aca="false">SUMIFS(Intentions!$G$2:$G$344,Intentions!$B$2:$B$344,$A10)</f>
        <v>195</v>
      </c>
      <c r="I10" s="11" t="n">
        <f aca="false">SUMIFS(Activites!$F$2:$F$189,Activites!$B$2:$B$189,$A10)</f>
        <v>357</v>
      </c>
      <c r="J10" s="11" t="n">
        <f aca="false">SUMIFS(Activites!$F$2:$F$189,Activites!$B$2:$B$189,$A10,Activites!$C$2:$C$189,"Spirituel")</f>
        <v>21</v>
      </c>
      <c r="K10" s="11" t="n">
        <f aca="false">SUMIFS(Activites!$F$2:$F$189,Activites!$B$2:$B$189,$A10,Activites!$C$2:$C$189,"Physique")</f>
        <v>0</v>
      </c>
      <c r="L10" s="11" t="n">
        <f aca="false">SUMIFS(Activites!$F$2:$F$189,Activites!$B$2:$B$189,$A10,Activites!$C$2:$C$189,"Études")</f>
        <v>162</v>
      </c>
      <c r="M10" s="11" t="n">
        <f aca="false">SUMIFS(Activites!$F$2:$F$189,Activites!$B$2:$B$189,$A10,Activites!$C$2:$C$189,"Professionnel")</f>
        <v>54</v>
      </c>
      <c r="N10" s="11" t="n">
        <f aca="false">SUMIFS(Activites!$F$2:$F$189,Activites!$B$2:$B$189,$A10,Activites!$C$2:$C$189,"Personnel")</f>
        <v>0</v>
      </c>
      <c r="O10" s="11" t="n">
        <f aca="false">SUMIFS(Activites!$F$2:$F$189,Activites!$B$2:$B$189,$A10,Activites!$C$2:$C$189,"Relationnel")</f>
        <v>0</v>
      </c>
      <c r="P10" s="11" t="n">
        <f aca="false">SUMIFS(Activites!$F$2:$F$189,Activites!$B$2:$B$189,$A10,Activites!$C$2:$C$189,"Loisirs et créativité")</f>
        <v>120</v>
      </c>
      <c r="Q10" s="10" t="n">
        <v>6.8</v>
      </c>
      <c r="R10" s="11"/>
      <c r="S10" s="11" t="n">
        <v>5</v>
      </c>
      <c r="T10" s="11" t="n">
        <v>4</v>
      </c>
      <c r="U10" s="11" t="n">
        <v>4</v>
      </c>
      <c r="V10" s="11" t="n">
        <v>2</v>
      </c>
      <c r="W10" s="11" t="n">
        <v>189</v>
      </c>
      <c r="X10" s="16" t="n">
        <v>6442</v>
      </c>
      <c r="Y10" s="10" t="n">
        <v>2</v>
      </c>
      <c r="Z10" s="11" t="n">
        <f aca="false">COUNTIFS(Reflexions!$A$2:$A$57,$A10)</f>
        <v>0</v>
      </c>
      <c r="AA10" s="17"/>
    </row>
    <row r="11" customFormat="false" ht="15" hidden="false" customHeight="false" outlineLevel="0" collapsed="false">
      <c r="A11" s="15" t="n">
        <v>46225</v>
      </c>
      <c r="B11" s="4" t="str">
        <f aca="false">INDEX({"Lundi","Mardi","Mercredi","Jeudi","Vendredi","Samedi","Dimanche"},WEEKDAY($A11,2))</f>
        <v>Mercredi</v>
      </c>
      <c r="C11" s="4" t="s">
        <v>71</v>
      </c>
      <c r="D11" s="11" t="n">
        <f aca="false">COUNTIFS(Intentions!$B$2:$B$344,$A11)</f>
        <v>4</v>
      </c>
      <c r="E11" s="11" t="n">
        <f aca="false">COUNTIFS(Intentions!$B$2:$B$344,$A11,Intentions!$H$2:$H$344,"&lt;&gt;Prévu")</f>
        <v>4</v>
      </c>
      <c r="F11" s="11" t="n">
        <f aca="false">COUNTIFS(Intentions!$B$2:$B$344,$A11,Intentions!$H$2:$H$344,"Réalisé")+COUNTIFS(Intentions!$B$2:$B$344,$A11,Intentions!$H$2:$H$344,"Partiel")</f>
        <v>1</v>
      </c>
      <c r="G11" s="12" t="n">
        <f aca="false">IF(E11=0,"",SUMIFS(Intentions!$K$2:$K$344,Intentions!$B$2:$B$344,$A11)/E11)</f>
        <v>0.25</v>
      </c>
      <c r="H11" s="11" t="n">
        <f aca="false">SUMIFS(Intentions!$G$2:$G$344,Intentions!$B$2:$B$344,$A11)</f>
        <v>190</v>
      </c>
      <c r="I11" s="11" t="n">
        <f aca="false">SUMIFS(Activites!$F$2:$F$189,Activites!$B$2:$B$189,$A11)</f>
        <v>141</v>
      </c>
      <c r="J11" s="11" t="n">
        <f aca="false">SUMIFS(Activites!$F$2:$F$189,Activites!$B$2:$B$189,$A11,Activites!$C$2:$C$189,"Spirituel")</f>
        <v>0</v>
      </c>
      <c r="K11" s="11" t="n">
        <f aca="false">SUMIFS(Activites!$F$2:$F$189,Activites!$B$2:$B$189,$A11,Activites!$C$2:$C$189,"Physique")</f>
        <v>0</v>
      </c>
      <c r="L11" s="11" t="n">
        <f aca="false">SUMIFS(Activites!$F$2:$F$189,Activites!$B$2:$B$189,$A11,Activites!$C$2:$C$189,"Études")</f>
        <v>0</v>
      </c>
      <c r="M11" s="11" t="n">
        <f aca="false">SUMIFS(Activites!$F$2:$F$189,Activites!$B$2:$B$189,$A11,Activites!$C$2:$C$189,"Professionnel")</f>
        <v>81</v>
      </c>
      <c r="N11" s="11" t="n">
        <f aca="false">SUMIFS(Activites!$F$2:$F$189,Activites!$B$2:$B$189,$A11,Activites!$C$2:$C$189,"Personnel")</f>
        <v>0</v>
      </c>
      <c r="O11" s="11" t="n">
        <f aca="false">SUMIFS(Activites!$F$2:$F$189,Activites!$B$2:$B$189,$A11,Activites!$C$2:$C$189,"Relationnel")</f>
        <v>0</v>
      </c>
      <c r="P11" s="11" t="n">
        <f aca="false">SUMIFS(Activites!$F$2:$F$189,Activites!$B$2:$B$189,$A11,Activites!$C$2:$C$189,"Loisirs et créativité")</f>
        <v>60</v>
      </c>
      <c r="Q11" s="10" t="n">
        <v>8</v>
      </c>
      <c r="R11" s="11"/>
      <c r="S11" s="11" t="n">
        <v>4</v>
      </c>
      <c r="T11" s="11" t="n">
        <v>4</v>
      </c>
      <c r="U11" s="11" t="n">
        <v>3</v>
      </c>
      <c r="V11" s="11" t="n">
        <v>5</v>
      </c>
      <c r="W11" s="11" t="n">
        <v>174</v>
      </c>
      <c r="X11" s="16" t="n">
        <v>9305</v>
      </c>
      <c r="Y11" s="10" t="n">
        <v>2.1</v>
      </c>
      <c r="Z11" s="11" t="n">
        <f aca="false">COUNTIFS(Reflexions!$A$2:$A$57,$A11)</f>
        <v>1</v>
      </c>
      <c r="AA11" s="17"/>
    </row>
    <row r="12" customFormat="false" ht="15" hidden="false" customHeight="false" outlineLevel="0" collapsed="false">
      <c r="A12" s="15" t="n">
        <v>46226</v>
      </c>
      <c r="B12" s="4" t="str">
        <f aca="false">INDEX({"Lundi","Mardi","Mercredi","Jeudi","Vendredi","Samedi","Dimanche"},WEEKDAY($A12,2))</f>
        <v>Jeudi</v>
      </c>
      <c r="C12" s="4" t="s">
        <v>71</v>
      </c>
      <c r="D12" s="11" t="n">
        <f aca="false">COUNTIFS(Intentions!$B$2:$B$344,$A12)</f>
        <v>7</v>
      </c>
      <c r="E12" s="11" t="n">
        <f aca="false">COUNTIFS(Intentions!$B$2:$B$344,$A12,Intentions!$H$2:$H$344,"&lt;&gt;Prévu")</f>
        <v>7</v>
      </c>
      <c r="F12" s="11" t="n">
        <f aca="false">COUNTIFS(Intentions!$B$2:$B$344,$A12,Intentions!$H$2:$H$344,"Réalisé")+COUNTIFS(Intentions!$B$2:$B$344,$A12,Intentions!$H$2:$H$344,"Partiel")</f>
        <v>5</v>
      </c>
      <c r="G12" s="12" t="n">
        <f aca="false">IF(E12=0,"",SUMIFS(Intentions!$K$2:$K$344,Intentions!$B$2:$B$344,$A12)/E12)</f>
        <v>0.714285714285714</v>
      </c>
      <c r="H12" s="11" t="n">
        <f aca="false">SUMIFS(Intentions!$G$2:$G$344,Intentions!$B$2:$B$344,$A12)</f>
        <v>220</v>
      </c>
      <c r="I12" s="11" t="n">
        <f aca="false">SUMIFS(Activites!$F$2:$F$189,Activites!$B$2:$B$189,$A12)</f>
        <v>155</v>
      </c>
      <c r="J12" s="11" t="n">
        <f aca="false">SUMIFS(Activites!$F$2:$F$189,Activites!$B$2:$B$189,$A12,Activites!$C$2:$C$189,"Spirituel")</f>
        <v>23</v>
      </c>
      <c r="K12" s="11" t="n">
        <f aca="false">SUMIFS(Activites!$F$2:$F$189,Activites!$B$2:$B$189,$A12,Activites!$C$2:$C$189,"Physique")</f>
        <v>26</v>
      </c>
      <c r="L12" s="11" t="n">
        <f aca="false">SUMIFS(Activites!$F$2:$F$189,Activites!$B$2:$B$189,$A12,Activites!$C$2:$C$189,"Études")</f>
        <v>50</v>
      </c>
      <c r="M12" s="11" t="n">
        <f aca="false">SUMIFS(Activites!$F$2:$F$189,Activites!$B$2:$B$189,$A12,Activites!$C$2:$C$189,"Professionnel")</f>
        <v>0</v>
      </c>
      <c r="N12" s="11" t="n">
        <f aca="false">SUMIFS(Activites!$F$2:$F$189,Activites!$B$2:$B$189,$A12,Activites!$C$2:$C$189,"Personnel")</f>
        <v>0</v>
      </c>
      <c r="O12" s="11" t="n">
        <f aca="false">SUMIFS(Activites!$F$2:$F$189,Activites!$B$2:$B$189,$A12,Activites!$C$2:$C$189,"Relationnel")</f>
        <v>22</v>
      </c>
      <c r="P12" s="11" t="n">
        <f aca="false">SUMIFS(Activites!$F$2:$F$189,Activites!$B$2:$B$189,$A12,Activites!$C$2:$C$189,"Loisirs et créativité")</f>
        <v>34</v>
      </c>
      <c r="Q12" s="10" t="n">
        <v>7.7</v>
      </c>
      <c r="R12" s="11"/>
      <c r="S12" s="11" t="n">
        <v>4</v>
      </c>
      <c r="T12" s="11" t="n">
        <v>4</v>
      </c>
      <c r="U12" s="11" t="n">
        <v>3</v>
      </c>
      <c r="V12" s="11" t="n">
        <v>2</v>
      </c>
      <c r="W12" s="11" t="n">
        <v>262</v>
      </c>
      <c r="X12" s="16" t="n">
        <v>4810</v>
      </c>
      <c r="Y12" s="10" t="n">
        <v>1.8</v>
      </c>
      <c r="Z12" s="11" t="n">
        <f aca="false">COUNTIFS(Reflexions!$A$2:$A$57,$A12)</f>
        <v>0</v>
      </c>
      <c r="AA12" s="17"/>
    </row>
    <row r="13" customFormat="false" ht="15" hidden="false" customHeight="false" outlineLevel="0" collapsed="false">
      <c r="A13" s="15" t="n">
        <v>46227</v>
      </c>
      <c r="B13" s="4" t="str">
        <f aca="false">INDEX({"Lundi","Mardi","Mercredi","Jeudi","Vendredi","Samedi","Dimanche"},WEEKDAY($A13,2))</f>
        <v>Vendredi</v>
      </c>
      <c r="C13" s="4" t="s">
        <v>71</v>
      </c>
      <c r="D13" s="11" t="n">
        <f aca="false">COUNTIFS(Intentions!$B$2:$B$344,$A13)</f>
        <v>4</v>
      </c>
      <c r="E13" s="11" t="n">
        <f aca="false">COUNTIFS(Intentions!$B$2:$B$344,$A13,Intentions!$H$2:$H$344,"&lt;&gt;Prévu")</f>
        <v>4</v>
      </c>
      <c r="F13" s="11" t="n">
        <f aca="false">COUNTIFS(Intentions!$B$2:$B$344,$A13,Intentions!$H$2:$H$344,"Réalisé")+COUNTIFS(Intentions!$B$2:$B$344,$A13,Intentions!$H$2:$H$344,"Partiel")</f>
        <v>3</v>
      </c>
      <c r="G13" s="12" t="n">
        <f aca="false">IF(E13=0,"",SUMIFS(Intentions!$K$2:$K$344,Intentions!$B$2:$B$344,$A13)/E13)</f>
        <v>0.625</v>
      </c>
      <c r="H13" s="11" t="n">
        <f aca="false">SUMIFS(Intentions!$G$2:$G$344,Intentions!$B$2:$B$344,$A13)</f>
        <v>140</v>
      </c>
      <c r="I13" s="11" t="n">
        <f aca="false">SUMIFS(Activites!$F$2:$F$189,Activites!$B$2:$B$189,$A13)</f>
        <v>196</v>
      </c>
      <c r="J13" s="11" t="n">
        <f aca="false">SUMIFS(Activites!$F$2:$F$189,Activites!$B$2:$B$189,$A13,Activites!$C$2:$C$189,"Spirituel")</f>
        <v>17</v>
      </c>
      <c r="K13" s="11" t="n">
        <f aca="false">SUMIFS(Activites!$F$2:$F$189,Activites!$B$2:$B$189,$A13,Activites!$C$2:$C$189,"Physique")</f>
        <v>0</v>
      </c>
      <c r="L13" s="11" t="n">
        <f aca="false">SUMIFS(Activites!$F$2:$F$189,Activites!$B$2:$B$189,$A13,Activites!$C$2:$C$189,"Études")</f>
        <v>58</v>
      </c>
      <c r="M13" s="11" t="n">
        <f aca="false">SUMIFS(Activites!$F$2:$F$189,Activites!$B$2:$B$189,$A13,Activites!$C$2:$C$189,"Professionnel")</f>
        <v>0</v>
      </c>
      <c r="N13" s="11" t="n">
        <f aca="false">SUMIFS(Activites!$F$2:$F$189,Activites!$B$2:$B$189,$A13,Activites!$C$2:$C$189,"Personnel")</f>
        <v>0</v>
      </c>
      <c r="O13" s="11" t="n">
        <f aca="false">SUMIFS(Activites!$F$2:$F$189,Activites!$B$2:$B$189,$A13,Activites!$C$2:$C$189,"Relationnel")</f>
        <v>31</v>
      </c>
      <c r="P13" s="11" t="n">
        <f aca="false">SUMIFS(Activites!$F$2:$F$189,Activites!$B$2:$B$189,$A13,Activites!$C$2:$C$189,"Loisirs et créativité")</f>
        <v>90</v>
      </c>
      <c r="Q13" s="10" t="n">
        <v>6.6</v>
      </c>
      <c r="R13" s="11"/>
      <c r="S13" s="11" t="n">
        <v>3</v>
      </c>
      <c r="T13" s="11" t="n">
        <v>4</v>
      </c>
      <c r="U13" s="11" t="n">
        <v>3</v>
      </c>
      <c r="V13" s="11" t="n">
        <v>4</v>
      </c>
      <c r="W13" s="11" t="n">
        <v>225</v>
      </c>
      <c r="X13" s="16" t="n">
        <v>7116</v>
      </c>
      <c r="Y13" s="10" t="n">
        <v>1.9</v>
      </c>
      <c r="Z13" s="11" t="n">
        <f aca="false">COUNTIFS(Reflexions!$A$2:$A$57,$A13)</f>
        <v>0</v>
      </c>
      <c r="AA13" s="17"/>
    </row>
    <row r="14" customFormat="false" ht="15" hidden="false" customHeight="false" outlineLevel="0" collapsed="false">
      <c r="A14" s="15" t="n">
        <v>46228</v>
      </c>
      <c r="B14" s="4" t="str">
        <f aca="false">INDEX({"Lundi","Mardi","Mercredi","Jeudi","Vendredi","Samedi","Dimanche"},WEEKDAY($A14,2))</f>
        <v>Samedi</v>
      </c>
      <c r="C14" s="4" t="s">
        <v>71</v>
      </c>
      <c r="D14" s="11" t="n">
        <f aca="false">COUNTIFS(Intentions!$B$2:$B$344,$A14)</f>
        <v>4</v>
      </c>
      <c r="E14" s="11" t="n">
        <f aca="false">COUNTIFS(Intentions!$B$2:$B$344,$A14,Intentions!$H$2:$H$344,"&lt;&gt;Prévu")</f>
        <v>4</v>
      </c>
      <c r="F14" s="11" t="n">
        <f aca="false">COUNTIFS(Intentions!$B$2:$B$344,$A14,Intentions!$H$2:$H$344,"Réalisé")+COUNTIFS(Intentions!$B$2:$B$344,$A14,Intentions!$H$2:$H$344,"Partiel")</f>
        <v>3</v>
      </c>
      <c r="G14" s="12" t="n">
        <f aca="false">IF(E14=0,"",SUMIFS(Intentions!$K$2:$K$344,Intentions!$B$2:$B$344,$A14)/E14)</f>
        <v>0.75</v>
      </c>
      <c r="H14" s="11" t="n">
        <f aca="false">SUMIFS(Intentions!$G$2:$G$344,Intentions!$B$2:$B$344,$A14)</f>
        <v>130</v>
      </c>
      <c r="I14" s="11" t="n">
        <f aca="false">SUMIFS(Activites!$F$2:$F$189,Activites!$B$2:$B$189,$A14)</f>
        <v>105</v>
      </c>
      <c r="J14" s="11" t="n">
        <f aca="false">SUMIFS(Activites!$F$2:$F$189,Activites!$B$2:$B$189,$A14,Activites!$C$2:$C$189,"Spirituel")</f>
        <v>21</v>
      </c>
      <c r="K14" s="11" t="n">
        <f aca="false">SUMIFS(Activites!$F$2:$F$189,Activites!$B$2:$B$189,$A14,Activites!$C$2:$C$189,"Physique")</f>
        <v>0</v>
      </c>
      <c r="L14" s="11" t="n">
        <f aca="false">SUMIFS(Activites!$F$2:$F$189,Activites!$B$2:$B$189,$A14,Activites!$C$2:$C$189,"Études")</f>
        <v>0</v>
      </c>
      <c r="M14" s="11" t="n">
        <f aca="false">SUMIFS(Activites!$F$2:$F$189,Activites!$B$2:$B$189,$A14,Activites!$C$2:$C$189,"Professionnel")</f>
        <v>57</v>
      </c>
      <c r="N14" s="11" t="n">
        <f aca="false">SUMIFS(Activites!$F$2:$F$189,Activites!$B$2:$B$189,$A14,Activites!$C$2:$C$189,"Personnel")</f>
        <v>0</v>
      </c>
      <c r="O14" s="11" t="n">
        <f aca="false">SUMIFS(Activites!$F$2:$F$189,Activites!$B$2:$B$189,$A14,Activites!$C$2:$C$189,"Relationnel")</f>
        <v>27</v>
      </c>
      <c r="P14" s="11" t="n">
        <f aca="false">SUMIFS(Activites!$F$2:$F$189,Activites!$B$2:$B$189,$A14,Activites!$C$2:$C$189,"Loisirs et créativité")</f>
        <v>0</v>
      </c>
      <c r="Q14" s="10" t="n">
        <v>4.9</v>
      </c>
      <c r="R14" s="11"/>
      <c r="S14" s="11" t="n">
        <v>2</v>
      </c>
      <c r="T14" s="11" t="n">
        <v>2</v>
      </c>
      <c r="U14" s="11" t="n">
        <v>3</v>
      </c>
      <c r="V14" s="11" t="n">
        <v>3</v>
      </c>
      <c r="W14" s="11" t="n">
        <v>163</v>
      </c>
      <c r="X14" s="16" t="n">
        <v>8247</v>
      </c>
      <c r="Y14" s="10" t="n">
        <v>1.4</v>
      </c>
      <c r="Z14" s="11" t="n">
        <f aca="false">COUNTIFS(Reflexions!$A$2:$A$57,$A14)</f>
        <v>1</v>
      </c>
      <c r="AA14" s="17"/>
    </row>
    <row r="15" customFormat="false" ht="15" hidden="false" customHeight="false" outlineLevel="0" collapsed="false">
      <c r="A15" s="15" t="n">
        <v>46229</v>
      </c>
      <c r="B15" s="4" t="str">
        <f aca="false">INDEX({"Lundi","Mardi","Mercredi","Jeudi","Vendredi","Samedi","Dimanche"},WEEKDAY($A15,2))</f>
        <v>Dimanche</v>
      </c>
      <c r="C15" s="4" t="s">
        <v>71</v>
      </c>
      <c r="D15" s="11" t="n">
        <f aca="false">COUNTIFS(Intentions!$B$2:$B$344,$A15)</f>
        <v>4</v>
      </c>
      <c r="E15" s="11" t="n">
        <f aca="false">COUNTIFS(Intentions!$B$2:$B$344,$A15,Intentions!$H$2:$H$344,"&lt;&gt;Prévu")</f>
        <v>4</v>
      </c>
      <c r="F15" s="11" t="n">
        <f aca="false">COUNTIFS(Intentions!$B$2:$B$344,$A15,Intentions!$H$2:$H$344,"Réalisé")+COUNTIFS(Intentions!$B$2:$B$344,$A15,Intentions!$H$2:$H$344,"Partiel")</f>
        <v>3</v>
      </c>
      <c r="G15" s="12" t="n">
        <f aca="false">IF(E15=0,"",SUMIFS(Intentions!$K$2:$K$344,Intentions!$B$2:$B$344,$A15)/E15)</f>
        <v>0.75</v>
      </c>
      <c r="H15" s="11" t="n">
        <f aca="false">SUMIFS(Intentions!$G$2:$G$344,Intentions!$B$2:$B$344,$A15)</f>
        <v>195</v>
      </c>
      <c r="I15" s="11" t="n">
        <f aca="false">SUMIFS(Activites!$F$2:$F$189,Activites!$B$2:$B$189,$A15)</f>
        <v>200</v>
      </c>
      <c r="J15" s="11" t="n">
        <f aca="false">SUMIFS(Activites!$F$2:$F$189,Activites!$B$2:$B$189,$A15,Activites!$C$2:$C$189,"Spirituel")</f>
        <v>0</v>
      </c>
      <c r="K15" s="11" t="n">
        <f aca="false">SUMIFS(Activites!$F$2:$F$189,Activites!$B$2:$B$189,$A15,Activites!$C$2:$C$189,"Physique")</f>
        <v>0</v>
      </c>
      <c r="L15" s="11" t="n">
        <f aca="false">SUMIFS(Activites!$F$2:$F$189,Activites!$B$2:$B$189,$A15,Activites!$C$2:$C$189,"Études")</f>
        <v>80</v>
      </c>
      <c r="M15" s="11" t="n">
        <f aca="false">SUMIFS(Activites!$F$2:$F$189,Activites!$B$2:$B$189,$A15,Activites!$C$2:$C$189,"Professionnel")</f>
        <v>96</v>
      </c>
      <c r="N15" s="11" t="n">
        <f aca="false">SUMIFS(Activites!$F$2:$F$189,Activites!$B$2:$B$189,$A15,Activites!$C$2:$C$189,"Personnel")</f>
        <v>24</v>
      </c>
      <c r="O15" s="11" t="n">
        <f aca="false">SUMIFS(Activites!$F$2:$F$189,Activites!$B$2:$B$189,$A15,Activites!$C$2:$C$189,"Relationnel")</f>
        <v>0</v>
      </c>
      <c r="P15" s="11" t="n">
        <f aca="false">SUMIFS(Activites!$F$2:$F$189,Activites!$B$2:$B$189,$A15,Activites!$C$2:$C$189,"Loisirs et créativité")</f>
        <v>0</v>
      </c>
      <c r="Q15" s="10" t="n">
        <v>6.3</v>
      </c>
      <c r="R15" s="11"/>
      <c r="S15" s="11" t="n">
        <v>4</v>
      </c>
      <c r="T15" s="11" t="n">
        <v>3</v>
      </c>
      <c r="U15" s="11" t="n">
        <v>4</v>
      </c>
      <c r="V15" s="11" t="n">
        <v>4</v>
      </c>
      <c r="W15" s="11" t="n">
        <v>193</v>
      </c>
      <c r="X15" s="16" t="n">
        <v>4271</v>
      </c>
      <c r="Y15" s="10" t="n">
        <v>1.6</v>
      </c>
      <c r="Z15" s="11" t="n">
        <f aca="false">COUNTIFS(Reflexions!$A$2:$A$57,$A15)</f>
        <v>1</v>
      </c>
      <c r="AA15" s="17" t="s">
        <v>74</v>
      </c>
    </row>
    <row r="16" customFormat="false" ht="15" hidden="false" customHeight="false" outlineLevel="0" collapsed="false">
      <c r="A16" s="15" t="n">
        <v>46230</v>
      </c>
      <c r="B16" s="4" t="str">
        <f aca="false">INDEX({"Lundi","Mardi","Mercredi","Jeudi","Vendredi","Samedi","Dimanche"},WEEKDAY($A16,2))</f>
        <v>Lundi</v>
      </c>
      <c r="C16" s="4" t="s">
        <v>71</v>
      </c>
      <c r="D16" s="11" t="n">
        <f aca="false">COUNTIFS(Intentions!$B$2:$B$344,$A16)</f>
        <v>5</v>
      </c>
      <c r="E16" s="11" t="n">
        <f aca="false">COUNTIFS(Intentions!$B$2:$B$344,$A16,Intentions!$H$2:$H$344,"&lt;&gt;Prévu")</f>
        <v>5</v>
      </c>
      <c r="F16" s="11" t="n">
        <f aca="false">COUNTIFS(Intentions!$B$2:$B$344,$A16,Intentions!$H$2:$H$344,"Réalisé")+COUNTIFS(Intentions!$B$2:$B$344,$A16,Intentions!$H$2:$H$344,"Partiel")</f>
        <v>4</v>
      </c>
      <c r="G16" s="12" t="n">
        <f aca="false">IF(E16=0,"",SUMIFS(Intentions!$K$2:$K$344,Intentions!$B$2:$B$344,$A16)/E16)</f>
        <v>0.8</v>
      </c>
      <c r="H16" s="11" t="n">
        <f aca="false">SUMIFS(Intentions!$G$2:$G$344,Intentions!$B$2:$B$344,$A16)</f>
        <v>210</v>
      </c>
      <c r="I16" s="11" t="n">
        <f aca="false">SUMIFS(Activites!$F$2:$F$189,Activites!$B$2:$B$189,$A16)</f>
        <v>153</v>
      </c>
      <c r="J16" s="11" t="n">
        <f aca="false">SUMIFS(Activites!$F$2:$F$189,Activites!$B$2:$B$189,$A16,Activites!$C$2:$C$189,"Spirituel")</f>
        <v>0</v>
      </c>
      <c r="K16" s="11" t="n">
        <f aca="false">SUMIFS(Activites!$F$2:$F$189,Activites!$B$2:$B$189,$A16,Activites!$C$2:$C$189,"Physique")</f>
        <v>82</v>
      </c>
      <c r="L16" s="11" t="n">
        <f aca="false">SUMIFS(Activites!$F$2:$F$189,Activites!$B$2:$B$189,$A16,Activites!$C$2:$C$189,"Études")</f>
        <v>54</v>
      </c>
      <c r="M16" s="11" t="n">
        <f aca="false">SUMIFS(Activites!$F$2:$F$189,Activites!$B$2:$B$189,$A16,Activites!$C$2:$C$189,"Professionnel")</f>
        <v>0</v>
      </c>
      <c r="N16" s="11" t="n">
        <f aca="false">SUMIFS(Activites!$F$2:$F$189,Activites!$B$2:$B$189,$A16,Activites!$C$2:$C$189,"Personnel")</f>
        <v>0</v>
      </c>
      <c r="O16" s="11" t="n">
        <f aca="false">SUMIFS(Activites!$F$2:$F$189,Activites!$B$2:$B$189,$A16,Activites!$C$2:$C$189,"Relationnel")</f>
        <v>17</v>
      </c>
      <c r="P16" s="11" t="n">
        <f aca="false">SUMIFS(Activites!$F$2:$F$189,Activites!$B$2:$B$189,$A16,Activites!$C$2:$C$189,"Loisirs et créativité")</f>
        <v>0</v>
      </c>
      <c r="Q16" s="10" t="n">
        <v>5.7</v>
      </c>
      <c r="R16" s="11"/>
      <c r="S16" s="11" t="n">
        <v>3</v>
      </c>
      <c r="T16" s="11" t="n">
        <v>2</v>
      </c>
      <c r="U16" s="11" t="n">
        <v>3</v>
      </c>
      <c r="V16" s="11" t="n">
        <v>3</v>
      </c>
      <c r="W16" s="11" t="n">
        <v>189</v>
      </c>
      <c r="X16" s="16" t="n">
        <v>3403</v>
      </c>
      <c r="Y16" s="10" t="n">
        <v>2.2</v>
      </c>
      <c r="Z16" s="11" t="n">
        <f aca="false">COUNTIFS(Reflexions!$A$2:$A$57,$A16)</f>
        <v>1</v>
      </c>
      <c r="AA16" s="17"/>
    </row>
    <row r="17" customFormat="false" ht="15" hidden="false" customHeight="false" outlineLevel="0" collapsed="false">
      <c r="A17" s="15" t="n">
        <v>46231</v>
      </c>
      <c r="B17" s="4" t="str">
        <f aca="false">INDEX({"Lundi","Mardi","Mercredi","Jeudi","Vendredi","Samedi","Dimanche"},WEEKDAY($A17,2))</f>
        <v>Mardi</v>
      </c>
      <c r="C17" s="4" t="s">
        <v>71</v>
      </c>
      <c r="D17" s="11" t="n">
        <f aca="false">COUNTIFS(Intentions!$B$2:$B$344,$A17)</f>
        <v>3</v>
      </c>
      <c r="E17" s="11" t="n">
        <f aca="false">COUNTIFS(Intentions!$B$2:$B$344,$A17,Intentions!$H$2:$H$344,"&lt;&gt;Prévu")</f>
        <v>3</v>
      </c>
      <c r="F17" s="11" t="n">
        <f aca="false">COUNTIFS(Intentions!$B$2:$B$344,$A17,Intentions!$H$2:$H$344,"Réalisé")+COUNTIFS(Intentions!$B$2:$B$344,$A17,Intentions!$H$2:$H$344,"Partiel")</f>
        <v>1</v>
      </c>
      <c r="G17" s="12" t="n">
        <f aca="false">IF(E17=0,"",SUMIFS(Intentions!$K$2:$K$344,Intentions!$B$2:$B$344,$A17)/E17)</f>
        <v>0.333333333333333</v>
      </c>
      <c r="H17" s="11" t="n">
        <f aca="false">SUMIFS(Intentions!$G$2:$G$344,Intentions!$B$2:$B$344,$A17)</f>
        <v>110</v>
      </c>
      <c r="I17" s="11" t="n">
        <f aca="false">SUMIFS(Activites!$F$2:$F$189,Activites!$B$2:$B$189,$A17)</f>
        <v>81</v>
      </c>
      <c r="J17" s="11" t="n">
        <f aca="false">SUMIFS(Activites!$F$2:$F$189,Activites!$B$2:$B$189,$A17,Activites!$C$2:$C$189,"Spirituel")</f>
        <v>0</v>
      </c>
      <c r="K17" s="11" t="n">
        <f aca="false">SUMIFS(Activites!$F$2:$F$189,Activites!$B$2:$B$189,$A17,Activites!$C$2:$C$189,"Physique")</f>
        <v>0</v>
      </c>
      <c r="L17" s="11" t="n">
        <f aca="false">SUMIFS(Activites!$F$2:$F$189,Activites!$B$2:$B$189,$A17,Activites!$C$2:$C$189,"Études")</f>
        <v>81</v>
      </c>
      <c r="M17" s="11" t="n">
        <f aca="false">SUMIFS(Activites!$F$2:$F$189,Activites!$B$2:$B$189,$A17,Activites!$C$2:$C$189,"Professionnel")</f>
        <v>0</v>
      </c>
      <c r="N17" s="11" t="n">
        <f aca="false">SUMIFS(Activites!$F$2:$F$189,Activites!$B$2:$B$189,$A17,Activites!$C$2:$C$189,"Personnel")</f>
        <v>0</v>
      </c>
      <c r="O17" s="11" t="n">
        <f aca="false">SUMIFS(Activites!$F$2:$F$189,Activites!$B$2:$B$189,$A17,Activites!$C$2:$C$189,"Relationnel")</f>
        <v>0</v>
      </c>
      <c r="P17" s="11" t="n">
        <f aca="false">SUMIFS(Activites!$F$2:$F$189,Activites!$B$2:$B$189,$A17,Activites!$C$2:$C$189,"Loisirs et créativité")</f>
        <v>0</v>
      </c>
      <c r="Q17" s="10" t="n">
        <v>6.1</v>
      </c>
      <c r="R17" s="11"/>
      <c r="S17" s="11" t="n">
        <v>3</v>
      </c>
      <c r="T17" s="11" t="n">
        <v>4</v>
      </c>
      <c r="U17" s="11" t="n">
        <v>3</v>
      </c>
      <c r="V17" s="11" t="n">
        <v>3</v>
      </c>
      <c r="W17" s="11" t="n">
        <v>267</v>
      </c>
      <c r="X17" s="16" t="n">
        <v>3764</v>
      </c>
      <c r="Y17" s="10" t="n">
        <v>1.7</v>
      </c>
      <c r="Z17" s="11" t="n">
        <f aca="false">COUNTIFS(Reflexions!$A$2:$A$57,$A17)</f>
        <v>2</v>
      </c>
      <c r="AA17" s="17" t="s">
        <v>74</v>
      </c>
    </row>
    <row r="18" customFormat="false" ht="15" hidden="false" customHeight="false" outlineLevel="0" collapsed="false">
      <c r="A18" s="15" t="n">
        <v>46232</v>
      </c>
      <c r="B18" s="4" t="str">
        <f aca="false">INDEX({"Lundi","Mardi","Mercredi","Jeudi","Vendredi","Samedi","Dimanche"},WEEKDAY($A18,2))</f>
        <v>Mercredi</v>
      </c>
      <c r="C18" s="4" t="s">
        <v>71</v>
      </c>
      <c r="D18" s="11" t="n">
        <f aca="false">COUNTIFS(Intentions!$B$2:$B$344,$A18)</f>
        <v>3</v>
      </c>
      <c r="E18" s="11" t="n">
        <f aca="false">COUNTIFS(Intentions!$B$2:$B$344,$A18,Intentions!$H$2:$H$344,"&lt;&gt;Prévu")</f>
        <v>3</v>
      </c>
      <c r="F18" s="11" t="n">
        <f aca="false">COUNTIFS(Intentions!$B$2:$B$344,$A18,Intentions!$H$2:$H$344,"Réalisé")+COUNTIFS(Intentions!$B$2:$B$344,$A18,Intentions!$H$2:$H$344,"Partiel")</f>
        <v>2</v>
      </c>
      <c r="G18" s="12" t="n">
        <f aca="false">IF(E18=0,"",SUMIFS(Intentions!$K$2:$K$344,Intentions!$B$2:$B$344,$A18)/E18)</f>
        <v>0.5</v>
      </c>
      <c r="H18" s="11" t="n">
        <f aca="false">SUMIFS(Intentions!$G$2:$G$344,Intentions!$B$2:$B$344,$A18)</f>
        <v>110</v>
      </c>
      <c r="I18" s="11" t="n">
        <f aca="false">SUMIFS(Activites!$F$2:$F$189,Activites!$B$2:$B$189,$A18)</f>
        <v>63</v>
      </c>
      <c r="J18" s="11" t="n">
        <f aca="false">SUMIFS(Activites!$F$2:$F$189,Activites!$B$2:$B$189,$A18,Activites!$C$2:$C$189,"Spirituel")</f>
        <v>26</v>
      </c>
      <c r="K18" s="11" t="n">
        <f aca="false">SUMIFS(Activites!$F$2:$F$189,Activites!$B$2:$B$189,$A18,Activites!$C$2:$C$189,"Physique")</f>
        <v>0</v>
      </c>
      <c r="L18" s="11" t="n">
        <f aca="false">SUMIFS(Activites!$F$2:$F$189,Activites!$B$2:$B$189,$A18,Activites!$C$2:$C$189,"Études")</f>
        <v>37</v>
      </c>
      <c r="M18" s="11" t="n">
        <f aca="false">SUMIFS(Activites!$F$2:$F$189,Activites!$B$2:$B$189,$A18,Activites!$C$2:$C$189,"Professionnel")</f>
        <v>0</v>
      </c>
      <c r="N18" s="11" t="n">
        <f aca="false">SUMIFS(Activites!$F$2:$F$189,Activites!$B$2:$B$189,$A18,Activites!$C$2:$C$189,"Personnel")</f>
        <v>0</v>
      </c>
      <c r="O18" s="11" t="n">
        <f aca="false">SUMIFS(Activites!$F$2:$F$189,Activites!$B$2:$B$189,$A18,Activites!$C$2:$C$189,"Relationnel")</f>
        <v>0</v>
      </c>
      <c r="P18" s="11" t="n">
        <f aca="false">SUMIFS(Activites!$F$2:$F$189,Activites!$B$2:$B$189,$A18,Activites!$C$2:$C$189,"Loisirs et créativité")</f>
        <v>0</v>
      </c>
      <c r="Q18" s="10" t="n">
        <v>6.7</v>
      </c>
      <c r="R18" s="11"/>
      <c r="S18" s="11" t="n">
        <v>2</v>
      </c>
      <c r="T18" s="11" t="n">
        <v>2</v>
      </c>
      <c r="U18" s="11" t="n">
        <v>3</v>
      </c>
      <c r="V18" s="11" t="n">
        <v>4</v>
      </c>
      <c r="W18" s="11" t="n">
        <v>211</v>
      </c>
      <c r="X18" s="16" t="n">
        <v>7295</v>
      </c>
      <c r="Y18" s="10" t="n">
        <v>1.1</v>
      </c>
      <c r="Z18" s="11" t="n">
        <f aca="false">COUNTIFS(Reflexions!$A$2:$A$57,$A18)</f>
        <v>1</v>
      </c>
      <c r="AA18" s="17"/>
    </row>
    <row r="19" customFormat="false" ht="15" hidden="false" customHeight="false" outlineLevel="0" collapsed="false">
      <c r="A19" s="15" t="n">
        <v>46233</v>
      </c>
      <c r="B19" s="4" t="str">
        <f aca="false">INDEX({"Lundi","Mardi","Mercredi","Jeudi","Vendredi","Samedi","Dimanche"},WEEKDAY($A19,2))</f>
        <v>Jeudi</v>
      </c>
      <c r="C19" s="4" t="s">
        <v>71</v>
      </c>
      <c r="D19" s="11" t="n">
        <f aca="false">COUNTIFS(Intentions!$B$2:$B$344,$A19)</f>
        <v>5</v>
      </c>
      <c r="E19" s="11" t="n">
        <f aca="false">COUNTIFS(Intentions!$B$2:$B$344,$A19,Intentions!$H$2:$H$344,"&lt;&gt;Prévu")</f>
        <v>5</v>
      </c>
      <c r="F19" s="11" t="n">
        <f aca="false">COUNTIFS(Intentions!$B$2:$B$344,$A19,Intentions!$H$2:$H$344,"Réalisé")+COUNTIFS(Intentions!$B$2:$B$344,$A19,Intentions!$H$2:$H$344,"Partiel")</f>
        <v>2</v>
      </c>
      <c r="G19" s="12" t="n">
        <f aca="false">IF(E19=0,"",SUMIFS(Intentions!$K$2:$K$344,Intentions!$B$2:$B$344,$A19)/E19)</f>
        <v>0.4</v>
      </c>
      <c r="H19" s="11" t="n">
        <f aca="false">SUMIFS(Intentions!$G$2:$G$344,Intentions!$B$2:$B$344,$A19)</f>
        <v>240</v>
      </c>
      <c r="I19" s="11" t="n">
        <f aca="false">SUMIFS(Activites!$F$2:$F$189,Activites!$B$2:$B$189,$A19)</f>
        <v>149</v>
      </c>
      <c r="J19" s="11" t="n">
        <f aca="false">SUMIFS(Activites!$F$2:$F$189,Activites!$B$2:$B$189,$A19,Activites!$C$2:$C$189,"Spirituel")</f>
        <v>0</v>
      </c>
      <c r="K19" s="11" t="n">
        <f aca="false">SUMIFS(Activites!$F$2:$F$189,Activites!$B$2:$B$189,$A19,Activites!$C$2:$C$189,"Physique")</f>
        <v>0</v>
      </c>
      <c r="L19" s="11" t="n">
        <f aca="false">SUMIFS(Activites!$F$2:$F$189,Activites!$B$2:$B$189,$A19,Activites!$C$2:$C$189,"Études")</f>
        <v>63</v>
      </c>
      <c r="M19" s="11" t="n">
        <f aca="false">SUMIFS(Activites!$F$2:$F$189,Activites!$B$2:$B$189,$A19,Activites!$C$2:$C$189,"Professionnel")</f>
        <v>86</v>
      </c>
      <c r="N19" s="11" t="n">
        <f aca="false">SUMIFS(Activites!$F$2:$F$189,Activites!$B$2:$B$189,$A19,Activites!$C$2:$C$189,"Personnel")</f>
        <v>0</v>
      </c>
      <c r="O19" s="11" t="n">
        <f aca="false">SUMIFS(Activites!$F$2:$F$189,Activites!$B$2:$B$189,$A19,Activites!$C$2:$C$189,"Relationnel")</f>
        <v>0</v>
      </c>
      <c r="P19" s="11" t="n">
        <f aca="false">SUMIFS(Activites!$F$2:$F$189,Activites!$B$2:$B$189,$A19,Activites!$C$2:$C$189,"Loisirs et créativité")</f>
        <v>0</v>
      </c>
      <c r="Q19" s="10" t="n">
        <v>8</v>
      </c>
      <c r="R19" s="11"/>
      <c r="S19" s="11" t="n">
        <v>4</v>
      </c>
      <c r="T19" s="11" t="n">
        <v>4</v>
      </c>
      <c r="U19" s="11" t="n">
        <v>3</v>
      </c>
      <c r="V19" s="11" t="n">
        <v>5</v>
      </c>
      <c r="W19" s="11" t="n">
        <v>178</v>
      </c>
      <c r="X19" s="16" t="n">
        <v>5937</v>
      </c>
      <c r="Y19" s="10" t="n">
        <v>1.7</v>
      </c>
      <c r="Z19" s="11" t="n">
        <f aca="false">COUNTIFS(Reflexions!$A$2:$A$57,$A19)</f>
        <v>0</v>
      </c>
      <c r="AA19" s="17"/>
    </row>
    <row r="20" customFormat="false" ht="15" hidden="false" customHeight="false" outlineLevel="0" collapsed="false">
      <c r="A20" s="15" t="n">
        <v>46234</v>
      </c>
      <c r="B20" s="4" t="str">
        <f aca="false">INDEX({"Lundi","Mardi","Mercredi","Jeudi","Vendredi","Samedi","Dimanche"},WEEKDAY($A20,2))</f>
        <v>Vendredi</v>
      </c>
      <c r="C20" s="4" t="s">
        <v>71</v>
      </c>
      <c r="D20" s="11" t="n">
        <f aca="false">COUNTIFS(Intentions!$B$2:$B$344,$A20)</f>
        <v>6</v>
      </c>
      <c r="E20" s="11" t="n">
        <f aca="false">COUNTIFS(Intentions!$B$2:$B$344,$A20,Intentions!$H$2:$H$344,"&lt;&gt;Prévu")</f>
        <v>6</v>
      </c>
      <c r="F20" s="11" t="n">
        <f aca="false">COUNTIFS(Intentions!$B$2:$B$344,$A20,Intentions!$H$2:$H$344,"Réalisé")+COUNTIFS(Intentions!$B$2:$B$344,$A20,Intentions!$H$2:$H$344,"Partiel")</f>
        <v>2</v>
      </c>
      <c r="G20" s="12" t="n">
        <f aca="false">IF(E20=0,"",SUMIFS(Intentions!$K$2:$K$344,Intentions!$B$2:$B$344,$A20)/E20)</f>
        <v>0.25</v>
      </c>
      <c r="H20" s="11" t="n">
        <f aca="false">SUMIFS(Intentions!$G$2:$G$344,Intentions!$B$2:$B$344,$A20)</f>
        <v>235</v>
      </c>
      <c r="I20" s="11" t="n">
        <f aca="false">SUMIFS(Activites!$F$2:$F$189,Activites!$B$2:$B$189,$A20)</f>
        <v>155</v>
      </c>
      <c r="J20" s="11" t="n">
        <f aca="false">SUMIFS(Activites!$F$2:$F$189,Activites!$B$2:$B$189,$A20,Activites!$C$2:$C$189,"Spirituel")</f>
        <v>22</v>
      </c>
      <c r="K20" s="11" t="n">
        <f aca="false">SUMIFS(Activites!$F$2:$F$189,Activites!$B$2:$B$189,$A20,Activites!$C$2:$C$189,"Physique")</f>
        <v>0</v>
      </c>
      <c r="L20" s="11" t="n">
        <f aca="false">SUMIFS(Activites!$F$2:$F$189,Activites!$B$2:$B$189,$A20,Activites!$C$2:$C$189,"Études")</f>
        <v>0</v>
      </c>
      <c r="M20" s="11" t="n">
        <f aca="false">SUMIFS(Activites!$F$2:$F$189,Activites!$B$2:$B$189,$A20,Activites!$C$2:$C$189,"Professionnel")</f>
        <v>0</v>
      </c>
      <c r="N20" s="11" t="n">
        <f aca="false">SUMIFS(Activites!$F$2:$F$189,Activites!$B$2:$B$189,$A20,Activites!$C$2:$C$189,"Personnel")</f>
        <v>0</v>
      </c>
      <c r="O20" s="11" t="n">
        <f aca="false">SUMIFS(Activites!$F$2:$F$189,Activites!$B$2:$B$189,$A20,Activites!$C$2:$C$189,"Relationnel")</f>
        <v>13</v>
      </c>
      <c r="P20" s="11" t="n">
        <f aca="false">SUMIFS(Activites!$F$2:$F$189,Activites!$B$2:$B$189,$A20,Activites!$C$2:$C$189,"Loisirs et créativité")</f>
        <v>120</v>
      </c>
      <c r="Q20" s="10" t="n">
        <v>6.9</v>
      </c>
      <c r="R20" s="11"/>
      <c r="S20" s="11" t="n">
        <v>5</v>
      </c>
      <c r="T20" s="11" t="n">
        <v>5</v>
      </c>
      <c r="U20" s="11" t="n">
        <v>3</v>
      </c>
      <c r="V20" s="11" t="n">
        <v>3</v>
      </c>
      <c r="W20" s="11" t="n">
        <v>163</v>
      </c>
      <c r="X20" s="16" t="n">
        <v>8126</v>
      </c>
      <c r="Y20" s="10" t="n">
        <v>1.7</v>
      </c>
      <c r="Z20" s="11" t="n">
        <f aca="false">COUNTIFS(Reflexions!$A$2:$A$57,$A20)</f>
        <v>0</v>
      </c>
      <c r="AA20" s="17"/>
    </row>
    <row r="21" customFormat="false" ht="15" hidden="false" customHeight="false" outlineLevel="0" collapsed="false">
      <c r="A21" s="15" t="n">
        <v>46235</v>
      </c>
      <c r="B21" s="4" t="str">
        <f aca="false">INDEX({"Lundi","Mardi","Mercredi","Jeudi","Vendredi","Samedi","Dimanche"},WEEKDAY($A21,2))</f>
        <v>Samedi</v>
      </c>
      <c r="C21" s="4" t="s">
        <v>71</v>
      </c>
      <c r="D21" s="11" t="n">
        <f aca="false">COUNTIFS(Intentions!$B$2:$B$344,$A21)</f>
        <v>5</v>
      </c>
      <c r="E21" s="11" t="n">
        <f aca="false">COUNTIFS(Intentions!$B$2:$B$344,$A21,Intentions!$H$2:$H$344,"&lt;&gt;Prévu")</f>
        <v>5</v>
      </c>
      <c r="F21" s="11" t="n">
        <f aca="false">COUNTIFS(Intentions!$B$2:$B$344,$A21,Intentions!$H$2:$H$344,"Réalisé")+COUNTIFS(Intentions!$B$2:$B$344,$A21,Intentions!$H$2:$H$344,"Partiel")</f>
        <v>1</v>
      </c>
      <c r="G21" s="12" t="n">
        <f aca="false">IF(E21=0,"",SUMIFS(Intentions!$K$2:$K$344,Intentions!$B$2:$B$344,$A21)/E21)</f>
        <v>0.2</v>
      </c>
      <c r="H21" s="11" t="n">
        <f aca="false">SUMIFS(Intentions!$G$2:$G$344,Intentions!$B$2:$B$344,$A21)</f>
        <v>315</v>
      </c>
      <c r="I21" s="11" t="n">
        <f aca="false">SUMIFS(Activites!$F$2:$F$189,Activites!$B$2:$B$189,$A21)</f>
        <v>113</v>
      </c>
      <c r="J21" s="11" t="n">
        <f aca="false">SUMIFS(Activites!$F$2:$F$189,Activites!$B$2:$B$189,$A21,Activites!$C$2:$C$189,"Spirituel")</f>
        <v>0</v>
      </c>
      <c r="K21" s="11" t="n">
        <f aca="false">SUMIFS(Activites!$F$2:$F$189,Activites!$B$2:$B$189,$A21,Activites!$C$2:$C$189,"Physique")</f>
        <v>0</v>
      </c>
      <c r="L21" s="11" t="n">
        <f aca="false">SUMIFS(Activites!$F$2:$F$189,Activites!$B$2:$B$189,$A21,Activites!$C$2:$C$189,"Études")</f>
        <v>53</v>
      </c>
      <c r="M21" s="11" t="n">
        <f aca="false">SUMIFS(Activites!$F$2:$F$189,Activites!$B$2:$B$189,$A21,Activites!$C$2:$C$189,"Professionnel")</f>
        <v>0</v>
      </c>
      <c r="N21" s="11" t="n">
        <f aca="false">SUMIFS(Activites!$F$2:$F$189,Activites!$B$2:$B$189,$A21,Activites!$C$2:$C$189,"Personnel")</f>
        <v>0</v>
      </c>
      <c r="O21" s="11" t="n">
        <f aca="false">SUMIFS(Activites!$F$2:$F$189,Activites!$B$2:$B$189,$A21,Activites!$C$2:$C$189,"Relationnel")</f>
        <v>0</v>
      </c>
      <c r="P21" s="11" t="n">
        <f aca="false">SUMIFS(Activites!$F$2:$F$189,Activites!$B$2:$B$189,$A21,Activites!$C$2:$C$189,"Loisirs et créativité")</f>
        <v>60</v>
      </c>
      <c r="Q21" s="10" t="n">
        <v>6.3</v>
      </c>
      <c r="R21" s="11"/>
      <c r="S21" s="11" t="n">
        <v>4</v>
      </c>
      <c r="T21" s="11" t="n">
        <v>5</v>
      </c>
      <c r="U21" s="11" t="n">
        <v>4</v>
      </c>
      <c r="V21" s="11" t="n">
        <v>2</v>
      </c>
      <c r="W21" s="11" t="n">
        <v>252</v>
      </c>
      <c r="X21" s="16" t="n">
        <v>6190</v>
      </c>
      <c r="Y21" s="10" t="n">
        <v>1.6</v>
      </c>
      <c r="Z21" s="11" t="n">
        <f aca="false">COUNTIFS(Reflexions!$A$2:$A$57,$A21)</f>
        <v>0</v>
      </c>
      <c r="AA21" s="17"/>
    </row>
    <row r="22" customFormat="false" ht="15" hidden="false" customHeight="false" outlineLevel="0" collapsed="false">
      <c r="A22" s="15" t="n">
        <v>46236</v>
      </c>
      <c r="B22" s="4" t="str">
        <f aca="false">INDEX({"Lundi","Mardi","Mercredi","Jeudi","Vendredi","Samedi","Dimanche"},WEEKDAY($A22,2))</f>
        <v>Dimanche</v>
      </c>
      <c r="C22" s="4" t="s">
        <v>71</v>
      </c>
      <c r="D22" s="11" t="n">
        <f aca="false">COUNTIFS(Intentions!$B$2:$B$344,$A22)</f>
        <v>7</v>
      </c>
      <c r="E22" s="11" t="n">
        <f aca="false">COUNTIFS(Intentions!$B$2:$B$344,$A22,Intentions!$H$2:$H$344,"&lt;&gt;Prévu")</f>
        <v>7</v>
      </c>
      <c r="F22" s="11" t="n">
        <f aca="false">COUNTIFS(Intentions!$B$2:$B$344,$A22,Intentions!$H$2:$H$344,"Réalisé")+COUNTIFS(Intentions!$B$2:$B$344,$A22,Intentions!$H$2:$H$344,"Partiel")</f>
        <v>2</v>
      </c>
      <c r="G22" s="12" t="n">
        <f aca="false">IF(E22=0,"",SUMIFS(Intentions!$K$2:$K$344,Intentions!$B$2:$B$344,$A22)/E22)</f>
        <v>0.285714285714286</v>
      </c>
      <c r="H22" s="11" t="n">
        <f aca="false">SUMIFS(Intentions!$G$2:$G$344,Intentions!$B$2:$B$344,$A22)</f>
        <v>335</v>
      </c>
      <c r="I22" s="11" t="n">
        <f aca="false">SUMIFS(Activites!$F$2:$F$189,Activites!$B$2:$B$189,$A22)</f>
        <v>94</v>
      </c>
      <c r="J22" s="11" t="n">
        <f aca="false">SUMIFS(Activites!$F$2:$F$189,Activites!$B$2:$B$189,$A22,Activites!$C$2:$C$189,"Spirituel")</f>
        <v>28</v>
      </c>
      <c r="K22" s="11" t="n">
        <f aca="false">SUMIFS(Activites!$F$2:$F$189,Activites!$B$2:$B$189,$A22,Activites!$C$2:$C$189,"Physique")</f>
        <v>0</v>
      </c>
      <c r="L22" s="11" t="n">
        <f aca="false">SUMIFS(Activites!$F$2:$F$189,Activites!$B$2:$B$189,$A22,Activites!$C$2:$C$189,"Études")</f>
        <v>66</v>
      </c>
      <c r="M22" s="11" t="n">
        <f aca="false">SUMIFS(Activites!$F$2:$F$189,Activites!$B$2:$B$189,$A22,Activites!$C$2:$C$189,"Professionnel")</f>
        <v>0</v>
      </c>
      <c r="N22" s="11" t="n">
        <f aca="false">SUMIFS(Activites!$F$2:$F$189,Activites!$B$2:$B$189,$A22,Activites!$C$2:$C$189,"Personnel")</f>
        <v>0</v>
      </c>
      <c r="O22" s="11" t="n">
        <f aca="false">SUMIFS(Activites!$F$2:$F$189,Activites!$B$2:$B$189,$A22,Activites!$C$2:$C$189,"Relationnel")</f>
        <v>0</v>
      </c>
      <c r="P22" s="11" t="n">
        <f aca="false">SUMIFS(Activites!$F$2:$F$189,Activites!$B$2:$B$189,$A22,Activites!$C$2:$C$189,"Loisirs et créativité")</f>
        <v>0</v>
      </c>
      <c r="Q22" s="10" t="n">
        <v>5.6</v>
      </c>
      <c r="R22" s="11"/>
      <c r="S22" s="11" t="n">
        <v>2</v>
      </c>
      <c r="T22" s="11" t="n">
        <v>2</v>
      </c>
      <c r="U22" s="11" t="n">
        <v>4</v>
      </c>
      <c r="V22" s="11" t="n">
        <v>3</v>
      </c>
      <c r="W22" s="11" t="n">
        <v>153</v>
      </c>
      <c r="X22" s="16" t="n">
        <v>8911</v>
      </c>
      <c r="Y22" s="10" t="n">
        <v>2.2</v>
      </c>
      <c r="Z22" s="11" t="n">
        <f aca="false">COUNTIFS(Reflexions!$A$2:$A$57,$A22)</f>
        <v>1</v>
      </c>
      <c r="AA22" s="17"/>
    </row>
    <row r="23" customFormat="false" ht="15" hidden="false" customHeight="false" outlineLevel="0" collapsed="false">
      <c r="A23" s="15" t="n">
        <v>46237</v>
      </c>
      <c r="B23" s="4" t="str">
        <f aca="false">INDEX({"Lundi","Mardi","Mercredi","Jeudi","Vendredi","Samedi","Dimanche"},WEEKDAY($A23,2))</f>
        <v>Lundi</v>
      </c>
      <c r="C23" s="4" t="s">
        <v>71</v>
      </c>
      <c r="D23" s="11" t="n">
        <f aca="false">COUNTIFS(Intentions!$B$2:$B$344,$A23)</f>
        <v>2</v>
      </c>
      <c r="E23" s="11" t="n">
        <f aca="false">COUNTIFS(Intentions!$B$2:$B$344,$A23,Intentions!$H$2:$H$344,"&lt;&gt;Prévu")</f>
        <v>2</v>
      </c>
      <c r="F23" s="11" t="n">
        <f aca="false">COUNTIFS(Intentions!$B$2:$B$344,$A23,Intentions!$H$2:$H$344,"Réalisé")+COUNTIFS(Intentions!$B$2:$B$344,$A23,Intentions!$H$2:$H$344,"Partiel")</f>
        <v>0</v>
      </c>
      <c r="G23" s="12" t="n">
        <f aca="false">IF(E23=0,"",SUMIFS(Intentions!$K$2:$K$344,Intentions!$B$2:$B$344,$A23)/E23)</f>
        <v>0</v>
      </c>
      <c r="H23" s="11" t="n">
        <f aca="false">SUMIFS(Intentions!$G$2:$G$344,Intentions!$B$2:$B$344,$A23)</f>
        <v>90</v>
      </c>
      <c r="I23" s="11" t="n">
        <f aca="false">SUMIFS(Activites!$F$2:$F$189,Activites!$B$2:$B$189,$A23)</f>
        <v>0</v>
      </c>
      <c r="J23" s="11" t="n">
        <f aca="false">SUMIFS(Activites!$F$2:$F$189,Activites!$B$2:$B$189,$A23,Activites!$C$2:$C$189,"Spirituel")</f>
        <v>0</v>
      </c>
      <c r="K23" s="11" t="n">
        <f aca="false">SUMIFS(Activites!$F$2:$F$189,Activites!$B$2:$B$189,$A23,Activites!$C$2:$C$189,"Physique")</f>
        <v>0</v>
      </c>
      <c r="L23" s="11" t="n">
        <f aca="false">SUMIFS(Activites!$F$2:$F$189,Activites!$B$2:$B$189,$A23,Activites!$C$2:$C$189,"Études")</f>
        <v>0</v>
      </c>
      <c r="M23" s="11" t="n">
        <f aca="false">SUMIFS(Activites!$F$2:$F$189,Activites!$B$2:$B$189,$A23,Activites!$C$2:$C$189,"Professionnel")</f>
        <v>0</v>
      </c>
      <c r="N23" s="11" t="n">
        <f aca="false">SUMIFS(Activites!$F$2:$F$189,Activites!$B$2:$B$189,$A23,Activites!$C$2:$C$189,"Personnel")</f>
        <v>0</v>
      </c>
      <c r="O23" s="11" t="n">
        <f aca="false">SUMIFS(Activites!$F$2:$F$189,Activites!$B$2:$B$189,$A23,Activites!$C$2:$C$189,"Relationnel")</f>
        <v>0</v>
      </c>
      <c r="P23" s="11" t="n">
        <f aca="false">SUMIFS(Activites!$F$2:$F$189,Activites!$B$2:$B$189,$A23,Activites!$C$2:$C$189,"Loisirs et créativité")</f>
        <v>0</v>
      </c>
      <c r="Q23" s="10" t="n">
        <v>6.6</v>
      </c>
      <c r="R23" s="11"/>
      <c r="S23" s="11" t="n">
        <v>3</v>
      </c>
      <c r="T23" s="11" t="n">
        <v>2</v>
      </c>
      <c r="U23" s="11" t="n">
        <v>2</v>
      </c>
      <c r="V23" s="11" t="n">
        <v>1</v>
      </c>
      <c r="W23" s="11" t="n">
        <v>187</v>
      </c>
      <c r="X23" s="16" t="n">
        <v>5184</v>
      </c>
      <c r="Y23" s="10" t="n">
        <v>1.5</v>
      </c>
      <c r="Z23" s="11" t="n">
        <f aca="false">COUNTIFS(Reflexions!$A$2:$A$57,$A23)</f>
        <v>0</v>
      </c>
      <c r="AA23" s="17"/>
    </row>
    <row r="24" customFormat="false" ht="15" hidden="false" customHeight="false" outlineLevel="0" collapsed="false">
      <c r="A24" s="15" t="n">
        <v>46238</v>
      </c>
      <c r="B24" s="4" t="str">
        <f aca="false">INDEX({"Lundi","Mardi","Mercredi","Jeudi","Vendredi","Samedi","Dimanche"},WEEKDAY($A24,2))</f>
        <v>Mardi</v>
      </c>
      <c r="C24" s="4" t="s">
        <v>71</v>
      </c>
      <c r="D24" s="11" t="n">
        <f aca="false">COUNTIFS(Intentions!$B$2:$B$344,$A24)</f>
        <v>7</v>
      </c>
      <c r="E24" s="11" t="n">
        <f aca="false">COUNTIFS(Intentions!$B$2:$B$344,$A24,Intentions!$H$2:$H$344,"&lt;&gt;Prévu")</f>
        <v>7</v>
      </c>
      <c r="F24" s="11" t="n">
        <f aca="false">COUNTIFS(Intentions!$B$2:$B$344,$A24,Intentions!$H$2:$H$344,"Réalisé")+COUNTIFS(Intentions!$B$2:$B$344,$A24,Intentions!$H$2:$H$344,"Partiel")</f>
        <v>3</v>
      </c>
      <c r="G24" s="12" t="n">
        <f aca="false">IF(E24=0,"",SUMIFS(Intentions!$K$2:$K$344,Intentions!$B$2:$B$344,$A24)/E24)</f>
        <v>0.357142857142857</v>
      </c>
      <c r="H24" s="11" t="n">
        <f aca="false">SUMIFS(Intentions!$G$2:$G$344,Intentions!$B$2:$B$344,$A24)</f>
        <v>345</v>
      </c>
      <c r="I24" s="11" t="n">
        <f aca="false">SUMIFS(Activites!$F$2:$F$189,Activites!$B$2:$B$189,$A24)</f>
        <v>278</v>
      </c>
      <c r="J24" s="11" t="n">
        <f aca="false">SUMIFS(Activites!$F$2:$F$189,Activites!$B$2:$B$189,$A24,Activites!$C$2:$C$189,"Spirituel")</f>
        <v>0</v>
      </c>
      <c r="K24" s="11" t="n">
        <f aca="false">SUMIFS(Activites!$F$2:$F$189,Activites!$B$2:$B$189,$A24,Activites!$C$2:$C$189,"Physique")</f>
        <v>0</v>
      </c>
      <c r="L24" s="11" t="n">
        <f aca="false">SUMIFS(Activites!$F$2:$F$189,Activites!$B$2:$B$189,$A24,Activites!$C$2:$C$189,"Études")</f>
        <v>253</v>
      </c>
      <c r="M24" s="11" t="n">
        <f aca="false">SUMIFS(Activites!$F$2:$F$189,Activites!$B$2:$B$189,$A24,Activites!$C$2:$C$189,"Professionnel")</f>
        <v>0</v>
      </c>
      <c r="N24" s="11" t="n">
        <f aca="false">SUMIFS(Activites!$F$2:$F$189,Activites!$B$2:$B$189,$A24,Activites!$C$2:$C$189,"Personnel")</f>
        <v>0</v>
      </c>
      <c r="O24" s="11" t="n">
        <f aca="false">SUMIFS(Activites!$F$2:$F$189,Activites!$B$2:$B$189,$A24,Activites!$C$2:$C$189,"Relationnel")</f>
        <v>0</v>
      </c>
      <c r="P24" s="11" t="n">
        <f aca="false">SUMIFS(Activites!$F$2:$F$189,Activites!$B$2:$B$189,$A24,Activites!$C$2:$C$189,"Loisirs et créativité")</f>
        <v>25</v>
      </c>
      <c r="Q24" s="10" t="n">
        <v>6.7</v>
      </c>
      <c r="R24" s="11"/>
      <c r="S24" s="11" t="n">
        <v>2</v>
      </c>
      <c r="T24" s="11" t="n">
        <v>1</v>
      </c>
      <c r="U24" s="11" t="n">
        <v>3</v>
      </c>
      <c r="V24" s="11" t="n">
        <v>2</v>
      </c>
      <c r="W24" s="11" t="n">
        <v>262</v>
      </c>
      <c r="X24" s="16" t="n">
        <v>5642</v>
      </c>
      <c r="Y24" s="10" t="n">
        <v>1.7</v>
      </c>
      <c r="Z24" s="11" t="n">
        <f aca="false">COUNTIFS(Reflexions!$A$2:$A$57,$A24)</f>
        <v>2</v>
      </c>
      <c r="AA24" s="17"/>
    </row>
    <row r="25" customFormat="false" ht="15" hidden="false" customHeight="false" outlineLevel="0" collapsed="false">
      <c r="A25" s="15" t="n">
        <v>46239</v>
      </c>
      <c r="B25" s="4" t="str">
        <f aca="false">INDEX({"Lundi","Mardi","Mercredi","Jeudi","Vendredi","Samedi","Dimanche"},WEEKDAY($A25,2))</f>
        <v>Mercredi</v>
      </c>
      <c r="C25" s="4" t="s">
        <v>71</v>
      </c>
      <c r="D25" s="11" t="n">
        <f aca="false">COUNTIFS(Intentions!$B$2:$B$344,$A25)</f>
        <v>2</v>
      </c>
      <c r="E25" s="11" t="n">
        <f aca="false">COUNTIFS(Intentions!$B$2:$B$344,$A25,Intentions!$H$2:$H$344,"&lt;&gt;Prévu")</f>
        <v>2</v>
      </c>
      <c r="F25" s="11" t="n">
        <f aca="false">COUNTIFS(Intentions!$B$2:$B$344,$A25,Intentions!$H$2:$H$344,"Réalisé")+COUNTIFS(Intentions!$B$2:$B$344,$A25,Intentions!$H$2:$H$344,"Partiel")</f>
        <v>0</v>
      </c>
      <c r="G25" s="12" t="n">
        <f aca="false">IF(E25=0,"",SUMIFS(Intentions!$K$2:$K$344,Intentions!$B$2:$B$344,$A25)/E25)</f>
        <v>0</v>
      </c>
      <c r="H25" s="11" t="n">
        <f aca="false">SUMIFS(Intentions!$G$2:$G$344,Intentions!$B$2:$B$344,$A25)</f>
        <v>85</v>
      </c>
      <c r="I25" s="11" t="n">
        <f aca="false">SUMIFS(Activites!$F$2:$F$189,Activites!$B$2:$B$189,$A25)</f>
        <v>0</v>
      </c>
      <c r="J25" s="11" t="n">
        <f aca="false">SUMIFS(Activites!$F$2:$F$189,Activites!$B$2:$B$189,$A25,Activites!$C$2:$C$189,"Spirituel")</f>
        <v>0</v>
      </c>
      <c r="K25" s="11" t="n">
        <f aca="false">SUMIFS(Activites!$F$2:$F$189,Activites!$B$2:$B$189,$A25,Activites!$C$2:$C$189,"Physique")</f>
        <v>0</v>
      </c>
      <c r="L25" s="11" t="n">
        <f aca="false">SUMIFS(Activites!$F$2:$F$189,Activites!$B$2:$B$189,$A25,Activites!$C$2:$C$189,"Études")</f>
        <v>0</v>
      </c>
      <c r="M25" s="11" t="n">
        <f aca="false">SUMIFS(Activites!$F$2:$F$189,Activites!$B$2:$B$189,$A25,Activites!$C$2:$C$189,"Professionnel")</f>
        <v>0</v>
      </c>
      <c r="N25" s="11" t="n">
        <f aca="false">SUMIFS(Activites!$F$2:$F$189,Activites!$B$2:$B$189,$A25,Activites!$C$2:$C$189,"Personnel")</f>
        <v>0</v>
      </c>
      <c r="O25" s="11" t="n">
        <f aca="false">SUMIFS(Activites!$F$2:$F$189,Activites!$B$2:$B$189,$A25,Activites!$C$2:$C$189,"Relationnel")</f>
        <v>0</v>
      </c>
      <c r="P25" s="11" t="n">
        <f aca="false">SUMIFS(Activites!$F$2:$F$189,Activites!$B$2:$B$189,$A25,Activites!$C$2:$C$189,"Loisirs et créativité")</f>
        <v>0</v>
      </c>
      <c r="Q25" s="10" t="n">
        <v>5.3</v>
      </c>
      <c r="R25" s="11"/>
      <c r="S25" s="11" t="n">
        <v>2</v>
      </c>
      <c r="T25" s="11" t="n">
        <v>3</v>
      </c>
      <c r="U25" s="11" t="n">
        <v>2</v>
      </c>
      <c r="V25" s="11" t="n">
        <v>4</v>
      </c>
      <c r="W25" s="11" t="n">
        <v>169</v>
      </c>
      <c r="X25" s="16" t="n">
        <v>4610</v>
      </c>
      <c r="Y25" s="10" t="n">
        <v>2.2</v>
      </c>
      <c r="Z25" s="11" t="n">
        <f aca="false">COUNTIFS(Reflexions!$A$2:$A$57,$A25)</f>
        <v>2</v>
      </c>
      <c r="AA25" s="17" t="s">
        <v>75</v>
      </c>
    </row>
    <row r="26" customFormat="false" ht="15" hidden="false" customHeight="false" outlineLevel="0" collapsed="false">
      <c r="A26" s="15" t="n">
        <v>46240</v>
      </c>
      <c r="B26" s="4" t="str">
        <f aca="false">INDEX({"Lundi","Mardi","Mercredi","Jeudi","Vendredi","Samedi","Dimanche"},WEEKDAY($A26,2))</f>
        <v>Jeudi</v>
      </c>
      <c r="C26" s="4" t="s">
        <v>71</v>
      </c>
      <c r="D26" s="11" t="n">
        <f aca="false">COUNTIFS(Intentions!$B$2:$B$344,$A26)</f>
        <v>6</v>
      </c>
      <c r="E26" s="11" t="n">
        <f aca="false">COUNTIFS(Intentions!$B$2:$B$344,$A26,Intentions!$H$2:$H$344,"&lt;&gt;Prévu")</f>
        <v>6</v>
      </c>
      <c r="F26" s="11" t="n">
        <f aca="false">COUNTIFS(Intentions!$B$2:$B$344,$A26,Intentions!$H$2:$H$344,"Réalisé")+COUNTIFS(Intentions!$B$2:$B$344,$A26,Intentions!$H$2:$H$344,"Partiel")</f>
        <v>1</v>
      </c>
      <c r="G26" s="12" t="n">
        <f aca="false">IF(E26=0,"",SUMIFS(Intentions!$K$2:$K$344,Intentions!$B$2:$B$344,$A26)/E26)</f>
        <v>0.166666666666667</v>
      </c>
      <c r="H26" s="11" t="n">
        <f aca="false">SUMIFS(Intentions!$G$2:$G$344,Intentions!$B$2:$B$344,$A26)</f>
        <v>225</v>
      </c>
      <c r="I26" s="11" t="n">
        <f aca="false">SUMIFS(Activites!$F$2:$F$189,Activites!$B$2:$B$189,$A26)</f>
        <v>21</v>
      </c>
      <c r="J26" s="11" t="n">
        <f aca="false">SUMIFS(Activites!$F$2:$F$189,Activites!$B$2:$B$189,$A26,Activites!$C$2:$C$189,"Spirituel")</f>
        <v>21</v>
      </c>
      <c r="K26" s="11" t="n">
        <f aca="false">SUMIFS(Activites!$F$2:$F$189,Activites!$B$2:$B$189,$A26,Activites!$C$2:$C$189,"Physique")</f>
        <v>0</v>
      </c>
      <c r="L26" s="11" t="n">
        <f aca="false">SUMIFS(Activites!$F$2:$F$189,Activites!$B$2:$B$189,$A26,Activites!$C$2:$C$189,"Études")</f>
        <v>0</v>
      </c>
      <c r="M26" s="11" t="n">
        <f aca="false">SUMIFS(Activites!$F$2:$F$189,Activites!$B$2:$B$189,$A26,Activites!$C$2:$C$189,"Professionnel")</f>
        <v>0</v>
      </c>
      <c r="N26" s="11" t="n">
        <f aca="false">SUMIFS(Activites!$F$2:$F$189,Activites!$B$2:$B$189,$A26,Activites!$C$2:$C$189,"Personnel")</f>
        <v>0</v>
      </c>
      <c r="O26" s="11" t="n">
        <f aca="false">SUMIFS(Activites!$F$2:$F$189,Activites!$B$2:$B$189,$A26,Activites!$C$2:$C$189,"Relationnel")</f>
        <v>0</v>
      </c>
      <c r="P26" s="11" t="n">
        <f aca="false">SUMIFS(Activites!$F$2:$F$189,Activites!$B$2:$B$189,$A26,Activites!$C$2:$C$189,"Loisirs et créativité")</f>
        <v>0</v>
      </c>
      <c r="Q26" s="10" t="n">
        <v>6.8</v>
      </c>
      <c r="R26" s="11"/>
      <c r="S26" s="11" t="n">
        <v>3</v>
      </c>
      <c r="T26" s="11" t="n">
        <v>3</v>
      </c>
      <c r="U26" s="11" t="n">
        <v>3</v>
      </c>
      <c r="V26" s="11" t="n">
        <v>1</v>
      </c>
      <c r="W26" s="11" t="n">
        <v>144</v>
      </c>
      <c r="X26" s="16" t="n">
        <v>10954</v>
      </c>
      <c r="Y26" s="10" t="n">
        <v>2.2</v>
      </c>
      <c r="Z26" s="11" t="n">
        <f aca="false">COUNTIFS(Reflexions!$A$2:$A$57,$A26)</f>
        <v>1</v>
      </c>
      <c r="AA26" s="17"/>
    </row>
    <row r="27" customFormat="false" ht="15" hidden="false" customHeight="false" outlineLevel="0" collapsed="false">
      <c r="A27" s="15" t="n">
        <v>46241</v>
      </c>
      <c r="B27" s="4" t="str">
        <f aca="false">INDEX({"Lundi","Mardi","Mercredi","Jeudi","Vendredi","Samedi","Dimanche"},WEEKDAY($A27,2))</f>
        <v>Vendredi</v>
      </c>
      <c r="C27" s="4" t="s">
        <v>71</v>
      </c>
      <c r="D27" s="11" t="n">
        <f aca="false">COUNTIFS(Intentions!$B$2:$B$344,$A27)</f>
        <v>4</v>
      </c>
      <c r="E27" s="11" t="n">
        <f aca="false">COUNTIFS(Intentions!$B$2:$B$344,$A27,Intentions!$H$2:$H$344,"&lt;&gt;Prévu")</f>
        <v>4</v>
      </c>
      <c r="F27" s="11" t="n">
        <f aca="false">COUNTIFS(Intentions!$B$2:$B$344,$A27,Intentions!$H$2:$H$344,"Réalisé")+COUNTIFS(Intentions!$B$2:$B$344,$A27,Intentions!$H$2:$H$344,"Partiel")</f>
        <v>3</v>
      </c>
      <c r="G27" s="12" t="n">
        <f aca="false">IF(E27=0,"",SUMIFS(Intentions!$K$2:$K$344,Intentions!$B$2:$B$344,$A27)/E27)</f>
        <v>0.75</v>
      </c>
      <c r="H27" s="11" t="n">
        <f aca="false">SUMIFS(Intentions!$G$2:$G$344,Intentions!$B$2:$B$344,$A27)</f>
        <v>145</v>
      </c>
      <c r="I27" s="11" t="n">
        <f aca="false">SUMIFS(Activites!$F$2:$F$189,Activites!$B$2:$B$189,$A27)</f>
        <v>95</v>
      </c>
      <c r="J27" s="11" t="n">
        <f aca="false">SUMIFS(Activites!$F$2:$F$189,Activites!$B$2:$B$189,$A27,Activites!$C$2:$C$189,"Spirituel")</f>
        <v>21</v>
      </c>
      <c r="K27" s="11" t="n">
        <f aca="false">SUMIFS(Activites!$F$2:$F$189,Activites!$B$2:$B$189,$A27,Activites!$C$2:$C$189,"Physique")</f>
        <v>0</v>
      </c>
      <c r="L27" s="11" t="n">
        <f aca="false">SUMIFS(Activites!$F$2:$F$189,Activites!$B$2:$B$189,$A27,Activites!$C$2:$C$189,"Études")</f>
        <v>48</v>
      </c>
      <c r="M27" s="11" t="n">
        <f aca="false">SUMIFS(Activites!$F$2:$F$189,Activites!$B$2:$B$189,$A27,Activites!$C$2:$C$189,"Professionnel")</f>
        <v>0</v>
      </c>
      <c r="N27" s="11" t="n">
        <f aca="false">SUMIFS(Activites!$F$2:$F$189,Activites!$B$2:$B$189,$A27,Activites!$C$2:$C$189,"Personnel")</f>
        <v>26</v>
      </c>
      <c r="O27" s="11" t="n">
        <f aca="false">SUMIFS(Activites!$F$2:$F$189,Activites!$B$2:$B$189,$A27,Activites!$C$2:$C$189,"Relationnel")</f>
        <v>0</v>
      </c>
      <c r="P27" s="11" t="n">
        <f aca="false">SUMIFS(Activites!$F$2:$F$189,Activites!$B$2:$B$189,$A27,Activites!$C$2:$C$189,"Loisirs et créativité")</f>
        <v>0</v>
      </c>
      <c r="Q27" s="10" t="n">
        <v>8</v>
      </c>
      <c r="R27" s="11"/>
      <c r="S27" s="11" t="n">
        <v>4</v>
      </c>
      <c r="T27" s="11" t="n">
        <v>3</v>
      </c>
      <c r="U27" s="11" t="n">
        <v>4</v>
      </c>
      <c r="V27" s="11" t="n">
        <v>2</v>
      </c>
      <c r="W27" s="11" t="n">
        <v>97</v>
      </c>
      <c r="X27" s="16" t="n">
        <v>9111</v>
      </c>
      <c r="Y27" s="10" t="n">
        <v>1.2</v>
      </c>
      <c r="Z27" s="11" t="n">
        <f aca="false">COUNTIFS(Reflexions!$A$2:$A$57,$A27)</f>
        <v>1</v>
      </c>
      <c r="AA27" s="17"/>
    </row>
    <row r="28" customFormat="false" ht="15" hidden="false" customHeight="false" outlineLevel="0" collapsed="false">
      <c r="A28" s="15" t="n">
        <v>46242</v>
      </c>
      <c r="B28" s="4" t="str">
        <f aca="false">INDEX({"Lundi","Mardi","Mercredi","Jeudi","Vendredi","Samedi","Dimanche"},WEEKDAY($A28,2))</f>
        <v>Samedi</v>
      </c>
      <c r="C28" s="4" t="s">
        <v>71</v>
      </c>
      <c r="D28" s="11" t="n">
        <f aca="false">COUNTIFS(Intentions!$B$2:$B$344,$A28)</f>
        <v>2</v>
      </c>
      <c r="E28" s="11" t="n">
        <f aca="false">COUNTIFS(Intentions!$B$2:$B$344,$A28,Intentions!$H$2:$H$344,"&lt;&gt;Prévu")</f>
        <v>2</v>
      </c>
      <c r="F28" s="11" t="n">
        <f aca="false">COUNTIFS(Intentions!$B$2:$B$344,$A28,Intentions!$H$2:$H$344,"Réalisé")+COUNTIFS(Intentions!$B$2:$B$344,$A28,Intentions!$H$2:$H$344,"Partiel")</f>
        <v>2</v>
      </c>
      <c r="G28" s="12" t="n">
        <f aca="false">IF(E28=0,"",SUMIFS(Intentions!$K$2:$K$344,Intentions!$B$2:$B$344,$A28)/E28)</f>
        <v>1</v>
      </c>
      <c r="H28" s="11" t="n">
        <f aca="false">SUMIFS(Intentions!$G$2:$G$344,Intentions!$B$2:$B$344,$A28)</f>
        <v>50</v>
      </c>
      <c r="I28" s="11" t="n">
        <f aca="false">SUMIFS(Activites!$F$2:$F$189,Activites!$B$2:$B$189,$A28)</f>
        <v>50</v>
      </c>
      <c r="J28" s="11" t="n">
        <f aca="false">SUMIFS(Activites!$F$2:$F$189,Activites!$B$2:$B$189,$A28,Activites!$C$2:$C$189,"Spirituel")</f>
        <v>0</v>
      </c>
      <c r="K28" s="11" t="n">
        <f aca="false">SUMIFS(Activites!$F$2:$F$189,Activites!$B$2:$B$189,$A28,Activites!$C$2:$C$189,"Physique")</f>
        <v>28</v>
      </c>
      <c r="L28" s="11" t="n">
        <f aca="false">SUMIFS(Activites!$F$2:$F$189,Activites!$B$2:$B$189,$A28,Activites!$C$2:$C$189,"Études")</f>
        <v>0</v>
      </c>
      <c r="M28" s="11" t="n">
        <f aca="false">SUMIFS(Activites!$F$2:$F$189,Activites!$B$2:$B$189,$A28,Activites!$C$2:$C$189,"Professionnel")</f>
        <v>0</v>
      </c>
      <c r="N28" s="11" t="n">
        <f aca="false">SUMIFS(Activites!$F$2:$F$189,Activites!$B$2:$B$189,$A28,Activites!$C$2:$C$189,"Personnel")</f>
        <v>0</v>
      </c>
      <c r="O28" s="11" t="n">
        <f aca="false">SUMIFS(Activites!$F$2:$F$189,Activites!$B$2:$B$189,$A28,Activites!$C$2:$C$189,"Relationnel")</f>
        <v>22</v>
      </c>
      <c r="P28" s="11" t="n">
        <f aca="false">SUMIFS(Activites!$F$2:$F$189,Activites!$B$2:$B$189,$A28,Activites!$C$2:$C$189,"Loisirs et créativité")</f>
        <v>0</v>
      </c>
      <c r="Q28" s="10" t="n">
        <v>8.4</v>
      </c>
      <c r="R28" s="11"/>
      <c r="S28" s="11" t="n">
        <v>3</v>
      </c>
      <c r="T28" s="11" t="n">
        <v>2</v>
      </c>
      <c r="U28" s="11" t="n">
        <v>3</v>
      </c>
      <c r="V28" s="11" t="n">
        <v>4</v>
      </c>
      <c r="W28" s="11" t="n">
        <v>183</v>
      </c>
      <c r="X28" s="16" t="n">
        <v>7056</v>
      </c>
      <c r="Y28" s="10" t="n">
        <v>2.3</v>
      </c>
      <c r="Z28" s="11" t="n">
        <f aca="false">COUNTIFS(Reflexions!$A$2:$A$57,$A28)</f>
        <v>0</v>
      </c>
      <c r="AA28" s="17"/>
    </row>
    <row r="29" customFormat="false" ht="15" hidden="false" customHeight="false" outlineLevel="0" collapsed="false">
      <c r="A29" s="15" t="n">
        <v>46243</v>
      </c>
      <c r="B29" s="4" t="str">
        <f aca="false">INDEX({"Lundi","Mardi","Mercredi","Jeudi","Vendredi","Samedi","Dimanche"},WEEKDAY($A29,2))</f>
        <v>Dimanche</v>
      </c>
      <c r="C29" s="4" t="s">
        <v>71</v>
      </c>
      <c r="D29" s="11" t="n">
        <f aca="false">COUNTIFS(Intentions!$B$2:$B$344,$A29)</f>
        <v>6</v>
      </c>
      <c r="E29" s="11" t="n">
        <f aca="false">COUNTIFS(Intentions!$B$2:$B$344,$A29,Intentions!$H$2:$H$344,"&lt;&gt;Prévu")</f>
        <v>6</v>
      </c>
      <c r="F29" s="11" t="n">
        <f aca="false">COUNTIFS(Intentions!$B$2:$B$344,$A29,Intentions!$H$2:$H$344,"Réalisé")+COUNTIFS(Intentions!$B$2:$B$344,$A29,Intentions!$H$2:$H$344,"Partiel")</f>
        <v>2</v>
      </c>
      <c r="G29" s="12" t="n">
        <f aca="false">IF(E29=0,"",SUMIFS(Intentions!$K$2:$K$344,Intentions!$B$2:$B$344,$A29)/E29)</f>
        <v>0.333333333333333</v>
      </c>
      <c r="H29" s="11" t="n">
        <f aca="false">SUMIFS(Intentions!$G$2:$G$344,Intentions!$B$2:$B$344,$A29)</f>
        <v>245</v>
      </c>
      <c r="I29" s="11" t="n">
        <f aca="false">SUMIFS(Activites!$F$2:$F$189,Activites!$B$2:$B$189,$A29)</f>
        <v>156</v>
      </c>
      <c r="J29" s="11" t="n">
        <f aca="false">SUMIFS(Activites!$F$2:$F$189,Activites!$B$2:$B$189,$A29,Activites!$C$2:$C$189,"Spirituel")</f>
        <v>0</v>
      </c>
      <c r="K29" s="11" t="n">
        <f aca="false">SUMIFS(Activites!$F$2:$F$189,Activites!$B$2:$B$189,$A29,Activites!$C$2:$C$189,"Physique")</f>
        <v>0</v>
      </c>
      <c r="L29" s="11" t="n">
        <f aca="false">SUMIFS(Activites!$F$2:$F$189,Activites!$B$2:$B$189,$A29,Activites!$C$2:$C$189,"Études")</f>
        <v>87</v>
      </c>
      <c r="M29" s="11" t="n">
        <f aca="false">SUMIFS(Activites!$F$2:$F$189,Activites!$B$2:$B$189,$A29,Activites!$C$2:$C$189,"Professionnel")</f>
        <v>69</v>
      </c>
      <c r="N29" s="11" t="n">
        <f aca="false">SUMIFS(Activites!$F$2:$F$189,Activites!$B$2:$B$189,$A29,Activites!$C$2:$C$189,"Personnel")</f>
        <v>0</v>
      </c>
      <c r="O29" s="11" t="n">
        <f aca="false">SUMIFS(Activites!$F$2:$F$189,Activites!$B$2:$B$189,$A29,Activites!$C$2:$C$189,"Relationnel")</f>
        <v>0</v>
      </c>
      <c r="P29" s="11" t="n">
        <f aca="false">SUMIFS(Activites!$F$2:$F$189,Activites!$B$2:$B$189,$A29,Activites!$C$2:$C$189,"Loisirs et créativité")</f>
        <v>0</v>
      </c>
      <c r="Q29" s="10" t="n">
        <v>7.3</v>
      </c>
      <c r="R29" s="11"/>
      <c r="S29" s="11" t="n">
        <v>4</v>
      </c>
      <c r="T29" s="11" t="n">
        <v>4</v>
      </c>
      <c r="U29" s="11" t="n">
        <v>3</v>
      </c>
      <c r="V29" s="11" t="n">
        <v>1</v>
      </c>
      <c r="W29" s="11" t="n">
        <v>225</v>
      </c>
      <c r="X29" s="16" t="n">
        <v>5529</v>
      </c>
      <c r="Y29" s="10" t="n">
        <v>2.2</v>
      </c>
      <c r="Z29" s="11" t="n">
        <f aca="false">COUNTIFS(Reflexions!$A$2:$A$57,$A29)</f>
        <v>1</v>
      </c>
      <c r="AA29" s="17"/>
    </row>
    <row r="30" customFormat="false" ht="15" hidden="false" customHeight="false" outlineLevel="0" collapsed="false">
      <c r="A30" s="15" t="n">
        <v>46244</v>
      </c>
      <c r="B30" s="4" t="str">
        <f aca="false">INDEX({"Lundi","Mardi","Mercredi","Jeudi","Vendredi","Samedi","Dimanche"},WEEKDAY($A30,2))</f>
        <v>Lundi</v>
      </c>
      <c r="C30" s="4" t="s">
        <v>71</v>
      </c>
      <c r="D30" s="11" t="n">
        <f aca="false">COUNTIFS(Intentions!$B$2:$B$344,$A30)</f>
        <v>5</v>
      </c>
      <c r="E30" s="11" t="n">
        <f aca="false">COUNTIFS(Intentions!$B$2:$B$344,$A30,Intentions!$H$2:$H$344,"&lt;&gt;Prévu")</f>
        <v>5</v>
      </c>
      <c r="F30" s="11" t="n">
        <f aca="false">COUNTIFS(Intentions!$B$2:$B$344,$A30,Intentions!$H$2:$H$344,"Réalisé")+COUNTIFS(Intentions!$B$2:$B$344,$A30,Intentions!$H$2:$H$344,"Partiel")</f>
        <v>1</v>
      </c>
      <c r="G30" s="12" t="n">
        <f aca="false">IF(E30=0,"",SUMIFS(Intentions!$K$2:$K$344,Intentions!$B$2:$B$344,$A30)/E30)</f>
        <v>0.2</v>
      </c>
      <c r="H30" s="11" t="n">
        <f aca="false">SUMIFS(Intentions!$G$2:$G$344,Intentions!$B$2:$B$344,$A30)</f>
        <v>175</v>
      </c>
      <c r="I30" s="11" t="n">
        <f aca="false">SUMIFS(Activites!$F$2:$F$189,Activites!$B$2:$B$189,$A30)</f>
        <v>18</v>
      </c>
      <c r="J30" s="11" t="n">
        <f aca="false">SUMIFS(Activites!$F$2:$F$189,Activites!$B$2:$B$189,$A30,Activites!$C$2:$C$189,"Spirituel")</f>
        <v>18</v>
      </c>
      <c r="K30" s="11" t="n">
        <f aca="false">SUMIFS(Activites!$F$2:$F$189,Activites!$B$2:$B$189,$A30,Activites!$C$2:$C$189,"Physique")</f>
        <v>0</v>
      </c>
      <c r="L30" s="11" t="n">
        <f aca="false">SUMIFS(Activites!$F$2:$F$189,Activites!$B$2:$B$189,$A30,Activites!$C$2:$C$189,"Études")</f>
        <v>0</v>
      </c>
      <c r="M30" s="11" t="n">
        <f aca="false">SUMIFS(Activites!$F$2:$F$189,Activites!$B$2:$B$189,$A30,Activites!$C$2:$C$189,"Professionnel")</f>
        <v>0</v>
      </c>
      <c r="N30" s="11" t="n">
        <f aca="false">SUMIFS(Activites!$F$2:$F$189,Activites!$B$2:$B$189,$A30,Activites!$C$2:$C$189,"Personnel")</f>
        <v>0</v>
      </c>
      <c r="O30" s="11" t="n">
        <f aca="false">SUMIFS(Activites!$F$2:$F$189,Activites!$B$2:$B$189,$A30,Activites!$C$2:$C$189,"Relationnel")</f>
        <v>0</v>
      </c>
      <c r="P30" s="11" t="n">
        <f aca="false">SUMIFS(Activites!$F$2:$F$189,Activites!$B$2:$B$189,$A30,Activites!$C$2:$C$189,"Loisirs et créativité")</f>
        <v>0</v>
      </c>
      <c r="Q30" s="10" t="n">
        <v>6.1</v>
      </c>
      <c r="R30" s="11"/>
      <c r="S30" s="11" t="n">
        <v>2</v>
      </c>
      <c r="T30" s="11" t="n">
        <v>2</v>
      </c>
      <c r="U30" s="11" t="n">
        <v>3</v>
      </c>
      <c r="V30" s="11" t="n">
        <v>2</v>
      </c>
      <c r="W30" s="11" t="n">
        <v>136</v>
      </c>
      <c r="X30" s="16" t="n">
        <v>7620</v>
      </c>
      <c r="Y30" s="10" t="n">
        <v>2.2</v>
      </c>
      <c r="Z30" s="11" t="n">
        <f aca="false">COUNTIFS(Reflexions!$A$2:$A$57,$A30)</f>
        <v>0</v>
      </c>
      <c r="AA30" s="17"/>
    </row>
    <row r="31" customFormat="false" ht="15" hidden="false" customHeight="false" outlineLevel="0" collapsed="false">
      <c r="A31" s="15" t="n">
        <v>46245</v>
      </c>
      <c r="B31" s="4" t="str">
        <f aca="false">INDEX({"Lundi","Mardi","Mercredi","Jeudi","Vendredi","Samedi","Dimanche"},WEEKDAY($A31,2))</f>
        <v>Mardi</v>
      </c>
      <c r="C31" s="4" t="s">
        <v>71</v>
      </c>
      <c r="D31" s="11" t="n">
        <f aca="false">COUNTIFS(Intentions!$B$2:$B$344,$A31)</f>
        <v>5</v>
      </c>
      <c r="E31" s="11" t="n">
        <f aca="false">COUNTIFS(Intentions!$B$2:$B$344,$A31,Intentions!$H$2:$H$344,"&lt;&gt;Prévu")</f>
        <v>5</v>
      </c>
      <c r="F31" s="11" t="n">
        <f aca="false">COUNTIFS(Intentions!$B$2:$B$344,$A31,Intentions!$H$2:$H$344,"Réalisé")+COUNTIFS(Intentions!$B$2:$B$344,$A31,Intentions!$H$2:$H$344,"Partiel")</f>
        <v>3</v>
      </c>
      <c r="G31" s="12" t="n">
        <f aca="false">IF(E31=0,"",SUMIFS(Intentions!$K$2:$K$344,Intentions!$B$2:$B$344,$A31)/E31)</f>
        <v>0.5</v>
      </c>
      <c r="H31" s="11" t="n">
        <f aca="false">SUMIFS(Intentions!$G$2:$G$344,Intentions!$B$2:$B$344,$A31)</f>
        <v>205</v>
      </c>
      <c r="I31" s="11" t="n">
        <f aca="false">SUMIFS(Activites!$F$2:$F$189,Activites!$B$2:$B$189,$A31)</f>
        <v>112</v>
      </c>
      <c r="J31" s="11" t="n">
        <f aca="false">SUMIFS(Activites!$F$2:$F$189,Activites!$B$2:$B$189,$A31,Activites!$C$2:$C$189,"Spirituel")</f>
        <v>18</v>
      </c>
      <c r="K31" s="11" t="n">
        <f aca="false">SUMIFS(Activites!$F$2:$F$189,Activites!$B$2:$B$189,$A31,Activites!$C$2:$C$189,"Physique")</f>
        <v>24</v>
      </c>
      <c r="L31" s="11" t="n">
        <f aca="false">SUMIFS(Activites!$F$2:$F$189,Activites!$B$2:$B$189,$A31,Activites!$C$2:$C$189,"Études")</f>
        <v>70</v>
      </c>
      <c r="M31" s="11" t="n">
        <f aca="false">SUMIFS(Activites!$F$2:$F$189,Activites!$B$2:$B$189,$A31,Activites!$C$2:$C$189,"Professionnel")</f>
        <v>0</v>
      </c>
      <c r="N31" s="11" t="n">
        <f aca="false">SUMIFS(Activites!$F$2:$F$189,Activites!$B$2:$B$189,$A31,Activites!$C$2:$C$189,"Personnel")</f>
        <v>0</v>
      </c>
      <c r="O31" s="11" t="n">
        <f aca="false">SUMIFS(Activites!$F$2:$F$189,Activites!$B$2:$B$189,$A31,Activites!$C$2:$C$189,"Relationnel")</f>
        <v>0</v>
      </c>
      <c r="P31" s="11" t="n">
        <f aca="false">SUMIFS(Activites!$F$2:$F$189,Activites!$B$2:$B$189,$A31,Activites!$C$2:$C$189,"Loisirs et créativité")</f>
        <v>0</v>
      </c>
      <c r="Q31" s="10" t="n">
        <v>7.9</v>
      </c>
      <c r="R31" s="11"/>
      <c r="S31" s="11" t="n">
        <v>3</v>
      </c>
      <c r="T31" s="11" t="n">
        <v>4</v>
      </c>
      <c r="U31" s="11" t="n">
        <v>4</v>
      </c>
      <c r="V31" s="11" t="n">
        <v>1</v>
      </c>
      <c r="W31" s="11" t="n">
        <v>171</v>
      </c>
      <c r="X31" s="16" t="n">
        <v>7534</v>
      </c>
      <c r="Y31" s="10" t="n">
        <v>1.9</v>
      </c>
      <c r="Z31" s="11" t="n">
        <f aca="false">COUNTIFS(Reflexions!$A$2:$A$57,$A31)</f>
        <v>0</v>
      </c>
      <c r="AA31" s="17"/>
    </row>
    <row r="32" customFormat="false" ht="15" hidden="false" customHeight="false" outlineLevel="0" collapsed="false">
      <c r="A32" s="15" t="n">
        <v>46246</v>
      </c>
      <c r="B32" s="4" t="str">
        <f aca="false">INDEX({"Lundi","Mardi","Mercredi","Jeudi","Vendredi","Samedi","Dimanche"},WEEKDAY($A32,2))</f>
        <v>Mercredi</v>
      </c>
      <c r="C32" s="4" t="s">
        <v>71</v>
      </c>
      <c r="D32" s="11" t="n">
        <f aca="false">COUNTIFS(Intentions!$B$2:$B$344,$A32)</f>
        <v>7</v>
      </c>
      <c r="E32" s="11" t="n">
        <f aca="false">COUNTIFS(Intentions!$B$2:$B$344,$A32,Intentions!$H$2:$H$344,"&lt;&gt;Prévu")</f>
        <v>7</v>
      </c>
      <c r="F32" s="11" t="n">
        <f aca="false">COUNTIFS(Intentions!$B$2:$B$344,$A32,Intentions!$H$2:$H$344,"Réalisé")+COUNTIFS(Intentions!$B$2:$B$344,$A32,Intentions!$H$2:$H$344,"Partiel")</f>
        <v>1</v>
      </c>
      <c r="G32" s="12" t="n">
        <f aca="false">IF(E32=0,"",SUMIFS(Intentions!$K$2:$K$344,Intentions!$B$2:$B$344,$A32)/E32)</f>
        <v>0.142857142857143</v>
      </c>
      <c r="H32" s="11" t="n">
        <f aca="false">SUMIFS(Intentions!$G$2:$G$344,Intentions!$B$2:$B$344,$A32)</f>
        <v>375</v>
      </c>
      <c r="I32" s="11" t="n">
        <f aca="false">SUMIFS(Activites!$F$2:$F$189,Activites!$B$2:$B$189,$A32)</f>
        <v>25</v>
      </c>
      <c r="J32" s="11" t="n">
        <f aca="false">SUMIFS(Activites!$F$2:$F$189,Activites!$B$2:$B$189,$A32,Activites!$C$2:$C$189,"Spirituel")</f>
        <v>0</v>
      </c>
      <c r="K32" s="11" t="n">
        <f aca="false">SUMIFS(Activites!$F$2:$F$189,Activites!$B$2:$B$189,$A32,Activites!$C$2:$C$189,"Physique")</f>
        <v>0</v>
      </c>
      <c r="L32" s="11" t="n">
        <f aca="false">SUMIFS(Activites!$F$2:$F$189,Activites!$B$2:$B$189,$A32,Activites!$C$2:$C$189,"Études")</f>
        <v>0</v>
      </c>
      <c r="M32" s="11" t="n">
        <f aca="false">SUMIFS(Activites!$F$2:$F$189,Activites!$B$2:$B$189,$A32,Activites!$C$2:$C$189,"Professionnel")</f>
        <v>0</v>
      </c>
      <c r="N32" s="11" t="n">
        <f aca="false">SUMIFS(Activites!$F$2:$F$189,Activites!$B$2:$B$189,$A32,Activites!$C$2:$C$189,"Personnel")</f>
        <v>0</v>
      </c>
      <c r="O32" s="11" t="n">
        <f aca="false">SUMIFS(Activites!$F$2:$F$189,Activites!$B$2:$B$189,$A32,Activites!$C$2:$C$189,"Relationnel")</f>
        <v>25</v>
      </c>
      <c r="P32" s="11" t="n">
        <f aca="false">SUMIFS(Activites!$F$2:$F$189,Activites!$B$2:$B$189,$A32,Activites!$C$2:$C$189,"Loisirs et créativité")</f>
        <v>0</v>
      </c>
      <c r="Q32" s="10" t="n">
        <v>6.5</v>
      </c>
      <c r="R32" s="11"/>
      <c r="S32" s="11" t="n">
        <v>3</v>
      </c>
      <c r="T32" s="11" t="n">
        <v>3</v>
      </c>
      <c r="U32" s="11" t="n">
        <v>2</v>
      </c>
      <c r="V32" s="11" t="n">
        <v>2</v>
      </c>
      <c r="W32" s="11" t="n">
        <v>109</v>
      </c>
      <c r="X32" s="16" t="n">
        <v>3368</v>
      </c>
      <c r="Y32" s="10" t="n">
        <v>1</v>
      </c>
      <c r="Z32" s="11" t="n">
        <f aca="false">COUNTIFS(Reflexions!$A$2:$A$57,$A32)</f>
        <v>1</v>
      </c>
      <c r="AA32" s="17"/>
    </row>
    <row r="33" customFormat="false" ht="15" hidden="false" customHeight="false" outlineLevel="0" collapsed="false">
      <c r="A33" s="15" t="n">
        <v>46247</v>
      </c>
      <c r="B33" s="4" t="str">
        <f aca="false">INDEX({"Lundi","Mardi","Mercredi","Jeudi","Vendredi","Samedi","Dimanche"},WEEKDAY($A33,2))</f>
        <v>Jeudi</v>
      </c>
      <c r="C33" s="4" t="s">
        <v>71</v>
      </c>
      <c r="D33" s="11" t="n">
        <f aca="false">COUNTIFS(Intentions!$B$2:$B$344,$A33)</f>
        <v>4</v>
      </c>
      <c r="E33" s="11" t="n">
        <f aca="false">COUNTIFS(Intentions!$B$2:$B$344,$A33,Intentions!$H$2:$H$344,"&lt;&gt;Prévu")</f>
        <v>4</v>
      </c>
      <c r="F33" s="11" t="n">
        <f aca="false">COUNTIFS(Intentions!$B$2:$B$344,$A33,Intentions!$H$2:$H$344,"Réalisé")+COUNTIFS(Intentions!$B$2:$B$344,$A33,Intentions!$H$2:$H$344,"Partiel")</f>
        <v>3</v>
      </c>
      <c r="G33" s="12" t="n">
        <f aca="false">IF(E33=0,"",SUMIFS(Intentions!$K$2:$K$344,Intentions!$B$2:$B$344,$A33)/E33)</f>
        <v>0.625</v>
      </c>
      <c r="H33" s="11" t="n">
        <f aca="false">SUMIFS(Intentions!$G$2:$G$344,Intentions!$B$2:$B$344,$A33)</f>
        <v>130</v>
      </c>
      <c r="I33" s="11" t="n">
        <f aca="false">SUMIFS(Activites!$F$2:$F$189,Activites!$B$2:$B$189,$A33)</f>
        <v>74</v>
      </c>
      <c r="J33" s="11" t="n">
        <f aca="false">SUMIFS(Activites!$F$2:$F$189,Activites!$B$2:$B$189,$A33,Activites!$C$2:$C$189,"Spirituel")</f>
        <v>20</v>
      </c>
      <c r="K33" s="11" t="n">
        <f aca="false">SUMIFS(Activites!$F$2:$F$189,Activites!$B$2:$B$189,$A33,Activites!$C$2:$C$189,"Physique")</f>
        <v>0</v>
      </c>
      <c r="L33" s="11" t="n">
        <f aca="false">SUMIFS(Activites!$F$2:$F$189,Activites!$B$2:$B$189,$A33,Activites!$C$2:$C$189,"Études")</f>
        <v>31</v>
      </c>
      <c r="M33" s="11" t="n">
        <f aca="false">SUMIFS(Activites!$F$2:$F$189,Activites!$B$2:$B$189,$A33,Activites!$C$2:$C$189,"Professionnel")</f>
        <v>0</v>
      </c>
      <c r="N33" s="11" t="n">
        <f aca="false">SUMIFS(Activites!$F$2:$F$189,Activites!$B$2:$B$189,$A33,Activites!$C$2:$C$189,"Personnel")</f>
        <v>0</v>
      </c>
      <c r="O33" s="11" t="n">
        <f aca="false">SUMIFS(Activites!$F$2:$F$189,Activites!$B$2:$B$189,$A33,Activites!$C$2:$C$189,"Relationnel")</f>
        <v>23</v>
      </c>
      <c r="P33" s="11" t="n">
        <f aca="false">SUMIFS(Activites!$F$2:$F$189,Activites!$B$2:$B$189,$A33,Activites!$C$2:$C$189,"Loisirs et créativité")</f>
        <v>0</v>
      </c>
      <c r="Q33" s="10" t="n">
        <v>8.6</v>
      </c>
      <c r="R33" s="11"/>
      <c r="S33" s="11" t="n">
        <v>5</v>
      </c>
      <c r="T33" s="11" t="n">
        <v>5</v>
      </c>
      <c r="U33" s="11" t="n">
        <v>5</v>
      </c>
      <c r="V33" s="11" t="n">
        <v>1</v>
      </c>
      <c r="W33" s="11" t="n">
        <v>206</v>
      </c>
      <c r="X33" s="16" t="n">
        <v>3294</v>
      </c>
      <c r="Y33" s="10" t="n">
        <v>1.9</v>
      </c>
      <c r="Z33" s="11" t="n">
        <f aca="false">COUNTIFS(Reflexions!$A$2:$A$57,$A33)</f>
        <v>1</v>
      </c>
      <c r="AA33" s="17"/>
    </row>
    <row r="34" customFormat="false" ht="15" hidden="false" customHeight="false" outlineLevel="0" collapsed="false">
      <c r="A34" s="15" t="n">
        <v>46248</v>
      </c>
      <c r="B34" s="4" t="str">
        <f aca="false">INDEX({"Lundi","Mardi","Mercredi","Jeudi","Vendredi","Samedi","Dimanche"},WEEKDAY($A34,2))</f>
        <v>Vendredi</v>
      </c>
      <c r="C34" s="4" t="s">
        <v>72</v>
      </c>
      <c r="D34" s="11" t="n">
        <f aca="false">COUNTIFS(Intentions!$B$2:$B$344,$A34)</f>
        <v>0</v>
      </c>
      <c r="E34" s="11" t="n">
        <f aca="false">COUNTIFS(Intentions!$B$2:$B$344,$A34,Intentions!$H$2:$H$344,"&lt;&gt;Prévu")</f>
        <v>0</v>
      </c>
      <c r="F34" s="11" t="n">
        <f aca="false">COUNTIFS(Intentions!$B$2:$B$344,$A34,Intentions!$H$2:$H$344,"Réalisé")+COUNTIFS(Intentions!$B$2:$B$344,$A34,Intentions!$H$2:$H$344,"Partiel")</f>
        <v>0</v>
      </c>
      <c r="G34" s="12" t="str">
        <f aca="false">IF(E34=0,"",SUMIFS(Intentions!$K$2:$K$344,Intentions!$B$2:$B$344,$A34)/E34)</f>
        <v/>
      </c>
      <c r="H34" s="11" t="n">
        <f aca="false">SUMIFS(Intentions!$G$2:$G$344,Intentions!$B$2:$B$344,$A34)</f>
        <v>0</v>
      </c>
      <c r="I34" s="11" t="n">
        <f aca="false">SUMIFS(Activites!$F$2:$F$189,Activites!$B$2:$B$189,$A34)</f>
        <v>0</v>
      </c>
      <c r="J34" s="11" t="n">
        <f aca="false">SUMIFS(Activites!$F$2:$F$189,Activites!$B$2:$B$189,$A34,Activites!$C$2:$C$189,"Spirituel")</f>
        <v>0</v>
      </c>
      <c r="K34" s="11" t="n">
        <f aca="false">SUMIFS(Activites!$F$2:$F$189,Activites!$B$2:$B$189,$A34,Activites!$C$2:$C$189,"Physique")</f>
        <v>0</v>
      </c>
      <c r="L34" s="11" t="n">
        <f aca="false">SUMIFS(Activites!$F$2:$F$189,Activites!$B$2:$B$189,$A34,Activites!$C$2:$C$189,"Études")</f>
        <v>0</v>
      </c>
      <c r="M34" s="11" t="n">
        <f aca="false">SUMIFS(Activites!$F$2:$F$189,Activites!$B$2:$B$189,$A34,Activites!$C$2:$C$189,"Professionnel")</f>
        <v>0</v>
      </c>
      <c r="N34" s="11" t="n">
        <f aca="false">SUMIFS(Activites!$F$2:$F$189,Activites!$B$2:$B$189,$A34,Activites!$C$2:$C$189,"Personnel")</f>
        <v>0</v>
      </c>
      <c r="O34" s="11" t="n">
        <f aca="false">SUMIFS(Activites!$F$2:$F$189,Activites!$B$2:$B$189,$A34,Activites!$C$2:$C$189,"Relationnel")</f>
        <v>0</v>
      </c>
      <c r="P34" s="11" t="n">
        <f aca="false">SUMIFS(Activites!$F$2:$F$189,Activites!$B$2:$B$189,$A34,Activites!$C$2:$C$189,"Loisirs et créativité")</f>
        <v>0</v>
      </c>
      <c r="Q34" s="10"/>
      <c r="R34" s="11"/>
      <c r="S34" s="11"/>
      <c r="T34" s="11"/>
      <c r="U34" s="11"/>
      <c r="V34" s="11"/>
      <c r="W34" s="11"/>
      <c r="X34" s="16"/>
      <c r="Y34" s="10"/>
      <c r="Z34" s="11" t="n">
        <f aca="false">COUNTIFS(Reflexions!$A$2:$A$57,$A34)</f>
        <v>0</v>
      </c>
      <c r="AA34" s="17"/>
    </row>
    <row r="35" customFormat="false" ht="15" hidden="false" customHeight="false" outlineLevel="0" collapsed="false">
      <c r="A35" s="15" t="n">
        <v>46249</v>
      </c>
      <c r="B35" s="4" t="str">
        <f aca="false">INDEX({"Lundi","Mardi","Mercredi","Jeudi","Vendredi","Samedi","Dimanche"},WEEKDAY($A35,2))</f>
        <v>Samedi</v>
      </c>
      <c r="C35" s="4" t="s">
        <v>71</v>
      </c>
      <c r="D35" s="11" t="n">
        <f aca="false">COUNTIFS(Intentions!$B$2:$B$344,$A35)</f>
        <v>7</v>
      </c>
      <c r="E35" s="11" t="n">
        <f aca="false">COUNTIFS(Intentions!$B$2:$B$344,$A35,Intentions!$H$2:$H$344,"&lt;&gt;Prévu")</f>
        <v>7</v>
      </c>
      <c r="F35" s="11" t="n">
        <f aca="false">COUNTIFS(Intentions!$B$2:$B$344,$A35,Intentions!$H$2:$H$344,"Réalisé")+COUNTIFS(Intentions!$B$2:$B$344,$A35,Intentions!$H$2:$H$344,"Partiel")</f>
        <v>3</v>
      </c>
      <c r="G35" s="12" t="n">
        <f aca="false">IF(E35=0,"",SUMIFS(Intentions!$K$2:$K$344,Intentions!$B$2:$B$344,$A35)/E35)</f>
        <v>0.428571428571429</v>
      </c>
      <c r="H35" s="11" t="n">
        <f aca="false">SUMIFS(Intentions!$G$2:$G$344,Intentions!$B$2:$B$344,$A35)</f>
        <v>340</v>
      </c>
      <c r="I35" s="11" t="n">
        <f aca="false">SUMIFS(Activites!$F$2:$F$189,Activites!$B$2:$B$189,$A35)</f>
        <v>222</v>
      </c>
      <c r="J35" s="11" t="n">
        <f aca="false">SUMIFS(Activites!$F$2:$F$189,Activites!$B$2:$B$189,$A35,Activites!$C$2:$C$189,"Spirituel")</f>
        <v>14</v>
      </c>
      <c r="K35" s="11" t="n">
        <f aca="false">SUMIFS(Activites!$F$2:$F$189,Activites!$B$2:$B$189,$A35,Activites!$C$2:$C$189,"Physique")</f>
        <v>0</v>
      </c>
      <c r="L35" s="11" t="n">
        <f aca="false">SUMIFS(Activites!$F$2:$F$189,Activites!$B$2:$B$189,$A35,Activites!$C$2:$C$189,"Études")</f>
        <v>0</v>
      </c>
      <c r="M35" s="11" t="n">
        <f aca="false">SUMIFS(Activites!$F$2:$F$189,Activites!$B$2:$B$189,$A35,Activites!$C$2:$C$189,"Professionnel")</f>
        <v>62</v>
      </c>
      <c r="N35" s="11" t="n">
        <f aca="false">SUMIFS(Activites!$F$2:$F$189,Activites!$B$2:$B$189,$A35,Activites!$C$2:$C$189,"Personnel")</f>
        <v>26</v>
      </c>
      <c r="O35" s="11" t="n">
        <f aca="false">SUMIFS(Activites!$F$2:$F$189,Activites!$B$2:$B$189,$A35,Activites!$C$2:$C$189,"Relationnel")</f>
        <v>0</v>
      </c>
      <c r="P35" s="11" t="n">
        <f aca="false">SUMIFS(Activites!$F$2:$F$189,Activites!$B$2:$B$189,$A35,Activites!$C$2:$C$189,"Loisirs et créativité")</f>
        <v>120</v>
      </c>
      <c r="Q35" s="10" t="n">
        <v>7.3</v>
      </c>
      <c r="R35" s="11"/>
      <c r="S35" s="11" t="n">
        <v>3</v>
      </c>
      <c r="T35" s="11" t="n">
        <v>4</v>
      </c>
      <c r="U35" s="11" t="n">
        <v>3</v>
      </c>
      <c r="V35" s="11" t="n">
        <v>2</v>
      </c>
      <c r="W35" s="11" t="n">
        <v>222</v>
      </c>
      <c r="X35" s="16" t="n">
        <v>3035</v>
      </c>
      <c r="Y35" s="10" t="n">
        <v>2</v>
      </c>
      <c r="Z35" s="11" t="n">
        <f aca="false">COUNTIFS(Reflexions!$A$2:$A$57,$A35)</f>
        <v>2</v>
      </c>
      <c r="AA35" s="17" t="s">
        <v>73</v>
      </c>
    </row>
    <row r="36" customFormat="false" ht="15" hidden="false" customHeight="false" outlineLevel="0" collapsed="false">
      <c r="A36" s="15" t="n">
        <v>46250</v>
      </c>
      <c r="B36" s="4" t="str">
        <f aca="false">INDEX({"Lundi","Mardi","Mercredi","Jeudi","Vendredi","Samedi","Dimanche"},WEEKDAY($A36,2))</f>
        <v>Dimanche</v>
      </c>
      <c r="C36" s="4" t="s">
        <v>71</v>
      </c>
      <c r="D36" s="11" t="n">
        <f aca="false">COUNTIFS(Intentions!$B$2:$B$344,$A36)</f>
        <v>5</v>
      </c>
      <c r="E36" s="11" t="n">
        <f aca="false">COUNTIFS(Intentions!$B$2:$B$344,$A36,Intentions!$H$2:$H$344,"&lt;&gt;Prévu")</f>
        <v>5</v>
      </c>
      <c r="F36" s="11" t="n">
        <f aca="false">COUNTIFS(Intentions!$B$2:$B$344,$A36,Intentions!$H$2:$H$344,"Réalisé")+COUNTIFS(Intentions!$B$2:$B$344,$A36,Intentions!$H$2:$H$344,"Partiel")</f>
        <v>3</v>
      </c>
      <c r="G36" s="12" t="n">
        <f aca="false">IF(E36=0,"",SUMIFS(Intentions!$K$2:$K$344,Intentions!$B$2:$B$344,$A36)/E36)</f>
        <v>0.6</v>
      </c>
      <c r="H36" s="11" t="n">
        <f aca="false">SUMIFS(Intentions!$G$2:$G$344,Intentions!$B$2:$B$344,$A36)</f>
        <v>155</v>
      </c>
      <c r="I36" s="11" t="n">
        <f aca="false">SUMIFS(Activites!$F$2:$F$189,Activites!$B$2:$B$189,$A36)</f>
        <v>112</v>
      </c>
      <c r="J36" s="11" t="n">
        <f aca="false">SUMIFS(Activites!$F$2:$F$189,Activites!$B$2:$B$189,$A36,Activites!$C$2:$C$189,"Spirituel")</f>
        <v>16</v>
      </c>
      <c r="K36" s="11" t="n">
        <f aca="false">SUMIFS(Activites!$F$2:$F$189,Activites!$B$2:$B$189,$A36,Activites!$C$2:$C$189,"Physique")</f>
        <v>0</v>
      </c>
      <c r="L36" s="11" t="n">
        <f aca="false">SUMIFS(Activites!$F$2:$F$189,Activites!$B$2:$B$189,$A36,Activites!$C$2:$C$189,"Études")</f>
        <v>75</v>
      </c>
      <c r="M36" s="11" t="n">
        <f aca="false">SUMIFS(Activites!$F$2:$F$189,Activites!$B$2:$B$189,$A36,Activites!$C$2:$C$189,"Professionnel")</f>
        <v>0</v>
      </c>
      <c r="N36" s="11" t="n">
        <f aca="false">SUMIFS(Activites!$F$2:$F$189,Activites!$B$2:$B$189,$A36,Activites!$C$2:$C$189,"Personnel")</f>
        <v>0</v>
      </c>
      <c r="O36" s="11" t="n">
        <f aca="false">SUMIFS(Activites!$F$2:$F$189,Activites!$B$2:$B$189,$A36,Activites!$C$2:$C$189,"Relationnel")</f>
        <v>21</v>
      </c>
      <c r="P36" s="11" t="n">
        <f aca="false">SUMIFS(Activites!$F$2:$F$189,Activites!$B$2:$B$189,$A36,Activites!$C$2:$C$189,"Loisirs et créativité")</f>
        <v>0</v>
      </c>
      <c r="Q36" s="10" t="n">
        <v>7.4</v>
      </c>
      <c r="R36" s="11"/>
      <c r="S36" s="11" t="n">
        <v>3</v>
      </c>
      <c r="T36" s="11" t="n">
        <v>2</v>
      </c>
      <c r="U36" s="11" t="n">
        <v>4</v>
      </c>
      <c r="V36" s="11" t="n">
        <v>1</v>
      </c>
      <c r="W36" s="11" t="n">
        <v>251</v>
      </c>
      <c r="X36" s="16" t="n">
        <v>4529</v>
      </c>
      <c r="Y36" s="10" t="n">
        <v>2.2</v>
      </c>
      <c r="Z36" s="11" t="n">
        <f aca="false">COUNTIFS(Reflexions!$A$2:$A$57,$A36)</f>
        <v>1</v>
      </c>
      <c r="AA36" s="17"/>
    </row>
    <row r="37" customFormat="false" ht="15" hidden="false" customHeight="false" outlineLevel="0" collapsed="false">
      <c r="A37" s="15" t="n">
        <v>46251</v>
      </c>
      <c r="B37" s="4" t="str">
        <f aca="false">INDEX({"Lundi","Mardi","Mercredi","Jeudi","Vendredi","Samedi","Dimanche"},WEEKDAY($A37,2))</f>
        <v>Lundi</v>
      </c>
      <c r="C37" s="4" t="s">
        <v>71</v>
      </c>
      <c r="D37" s="11" t="n">
        <f aca="false">COUNTIFS(Intentions!$B$2:$B$344,$A37)</f>
        <v>5</v>
      </c>
      <c r="E37" s="11" t="n">
        <f aca="false">COUNTIFS(Intentions!$B$2:$B$344,$A37,Intentions!$H$2:$H$344,"&lt;&gt;Prévu")</f>
        <v>5</v>
      </c>
      <c r="F37" s="11" t="n">
        <f aca="false">COUNTIFS(Intentions!$B$2:$B$344,$A37,Intentions!$H$2:$H$344,"Réalisé")+COUNTIFS(Intentions!$B$2:$B$344,$A37,Intentions!$H$2:$H$344,"Partiel")</f>
        <v>5</v>
      </c>
      <c r="G37" s="12" t="n">
        <f aca="false">IF(E37=0,"",SUMIFS(Intentions!$K$2:$K$344,Intentions!$B$2:$B$344,$A37)/E37)</f>
        <v>1</v>
      </c>
      <c r="H37" s="11" t="n">
        <f aca="false">SUMIFS(Intentions!$G$2:$G$344,Intentions!$B$2:$B$344,$A37)</f>
        <v>185</v>
      </c>
      <c r="I37" s="11" t="n">
        <f aca="false">SUMIFS(Activites!$F$2:$F$189,Activites!$B$2:$B$189,$A37)</f>
        <v>213</v>
      </c>
      <c r="J37" s="11" t="n">
        <f aca="false">SUMIFS(Activites!$F$2:$F$189,Activites!$B$2:$B$189,$A37,Activites!$C$2:$C$189,"Spirituel")</f>
        <v>24</v>
      </c>
      <c r="K37" s="11" t="n">
        <f aca="false">SUMIFS(Activites!$F$2:$F$189,Activites!$B$2:$B$189,$A37,Activites!$C$2:$C$189,"Physique")</f>
        <v>23</v>
      </c>
      <c r="L37" s="11" t="n">
        <f aca="false">SUMIFS(Activites!$F$2:$F$189,Activites!$B$2:$B$189,$A37,Activites!$C$2:$C$189,"Études")</f>
        <v>79</v>
      </c>
      <c r="M37" s="11" t="n">
        <f aca="false">SUMIFS(Activites!$F$2:$F$189,Activites!$B$2:$B$189,$A37,Activites!$C$2:$C$189,"Professionnel")</f>
        <v>58</v>
      </c>
      <c r="N37" s="11" t="n">
        <f aca="false">SUMIFS(Activites!$F$2:$F$189,Activites!$B$2:$B$189,$A37,Activites!$C$2:$C$189,"Personnel")</f>
        <v>0</v>
      </c>
      <c r="O37" s="11" t="n">
        <f aca="false">SUMIFS(Activites!$F$2:$F$189,Activites!$B$2:$B$189,$A37,Activites!$C$2:$C$189,"Relationnel")</f>
        <v>0</v>
      </c>
      <c r="P37" s="11" t="n">
        <f aca="false">SUMIFS(Activites!$F$2:$F$189,Activites!$B$2:$B$189,$A37,Activites!$C$2:$C$189,"Loisirs et créativité")</f>
        <v>29</v>
      </c>
      <c r="Q37" s="10" t="n">
        <v>7.3</v>
      </c>
      <c r="R37" s="11"/>
      <c r="S37" s="11" t="n">
        <v>4</v>
      </c>
      <c r="T37" s="11" t="n">
        <v>4</v>
      </c>
      <c r="U37" s="11" t="n">
        <v>5</v>
      </c>
      <c r="V37" s="11" t="n">
        <v>1</v>
      </c>
      <c r="W37" s="11" t="n">
        <v>186</v>
      </c>
      <c r="X37" s="16" t="n">
        <v>9904</v>
      </c>
      <c r="Y37" s="10" t="n">
        <v>1.6</v>
      </c>
      <c r="Z37" s="11" t="n">
        <f aca="false">COUNTIFS(Reflexions!$A$2:$A$57,$A37)</f>
        <v>0</v>
      </c>
      <c r="AA37" s="17"/>
    </row>
    <row r="38" customFormat="false" ht="15" hidden="false" customHeight="false" outlineLevel="0" collapsed="false">
      <c r="A38" s="15" t="n">
        <v>46252</v>
      </c>
      <c r="B38" s="4" t="str">
        <f aca="false">INDEX({"Lundi","Mardi","Mercredi","Jeudi","Vendredi","Samedi","Dimanche"},WEEKDAY($A38,2))</f>
        <v>Mardi</v>
      </c>
      <c r="C38" s="4" t="s">
        <v>71</v>
      </c>
      <c r="D38" s="11" t="n">
        <f aca="false">COUNTIFS(Intentions!$B$2:$B$344,$A38)</f>
        <v>5</v>
      </c>
      <c r="E38" s="11" t="n">
        <f aca="false">COUNTIFS(Intentions!$B$2:$B$344,$A38,Intentions!$H$2:$H$344,"&lt;&gt;Prévu")</f>
        <v>5</v>
      </c>
      <c r="F38" s="11" t="n">
        <f aca="false">COUNTIFS(Intentions!$B$2:$B$344,$A38,Intentions!$H$2:$H$344,"Réalisé")+COUNTIFS(Intentions!$B$2:$B$344,$A38,Intentions!$H$2:$H$344,"Partiel")</f>
        <v>2</v>
      </c>
      <c r="G38" s="12" t="n">
        <f aca="false">IF(E38=0,"",SUMIFS(Intentions!$K$2:$K$344,Intentions!$B$2:$B$344,$A38)/E38)</f>
        <v>0.3</v>
      </c>
      <c r="H38" s="11" t="n">
        <f aca="false">SUMIFS(Intentions!$G$2:$G$344,Intentions!$B$2:$B$344,$A38)</f>
        <v>230</v>
      </c>
      <c r="I38" s="11" t="n">
        <f aca="false">SUMIFS(Activites!$F$2:$F$189,Activites!$B$2:$B$189,$A38)</f>
        <v>90</v>
      </c>
      <c r="J38" s="11" t="n">
        <f aca="false">SUMIFS(Activites!$F$2:$F$189,Activites!$B$2:$B$189,$A38,Activites!$C$2:$C$189,"Spirituel")</f>
        <v>0</v>
      </c>
      <c r="K38" s="11" t="n">
        <f aca="false">SUMIFS(Activites!$F$2:$F$189,Activites!$B$2:$B$189,$A38,Activites!$C$2:$C$189,"Physique")</f>
        <v>15</v>
      </c>
      <c r="L38" s="11" t="n">
        <f aca="false">SUMIFS(Activites!$F$2:$F$189,Activites!$B$2:$B$189,$A38,Activites!$C$2:$C$189,"Études")</f>
        <v>75</v>
      </c>
      <c r="M38" s="11" t="n">
        <f aca="false">SUMIFS(Activites!$F$2:$F$189,Activites!$B$2:$B$189,$A38,Activites!$C$2:$C$189,"Professionnel")</f>
        <v>0</v>
      </c>
      <c r="N38" s="11" t="n">
        <f aca="false">SUMIFS(Activites!$F$2:$F$189,Activites!$B$2:$B$189,$A38,Activites!$C$2:$C$189,"Personnel")</f>
        <v>0</v>
      </c>
      <c r="O38" s="11" t="n">
        <f aca="false">SUMIFS(Activites!$F$2:$F$189,Activites!$B$2:$B$189,$A38,Activites!$C$2:$C$189,"Relationnel")</f>
        <v>0</v>
      </c>
      <c r="P38" s="11" t="n">
        <f aca="false">SUMIFS(Activites!$F$2:$F$189,Activites!$B$2:$B$189,$A38,Activites!$C$2:$C$189,"Loisirs et créativité")</f>
        <v>0</v>
      </c>
      <c r="Q38" s="10" t="n">
        <v>6.4</v>
      </c>
      <c r="R38" s="11"/>
      <c r="S38" s="11" t="n">
        <v>3</v>
      </c>
      <c r="T38" s="11" t="n">
        <v>3</v>
      </c>
      <c r="U38" s="11" t="n">
        <v>2</v>
      </c>
      <c r="V38" s="11" t="n">
        <v>3</v>
      </c>
      <c r="W38" s="11" t="n">
        <v>211</v>
      </c>
      <c r="X38" s="16" t="n">
        <v>8268</v>
      </c>
      <c r="Y38" s="10" t="n">
        <v>1.8</v>
      </c>
      <c r="Z38" s="11" t="n">
        <f aca="false">COUNTIFS(Reflexions!$A$2:$A$57,$A38)</f>
        <v>1</v>
      </c>
      <c r="AA38" s="17"/>
    </row>
    <row r="39" customFormat="false" ht="15" hidden="false" customHeight="false" outlineLevel="0" collapsed="false">
      <c r="A39" s="15" t="n">
        <v>46253</v>
      </c>
      <c r="B39" s="4" t="str">
        <f aca="false">INDEX({"Lundi","Mardi","Mercredi","Jeudi","Vendredi","Samedi","Dimanche"},WEEKDAY($A39,2))</f>
        <v>Mercredi</v>
      </c>
      <c r="C39" s="4" t="s">
        <v>71</v>
      </c>
      <c r="D39" s="11" t="n">
        <f aca="false">COUNTIFS(Intentions!$B$2:$B$344,$A39)</f>
        <v>3</v>
      </c>
      <c r="E39" s="11" t="n">
        <f aca="false">COUNTIFS(Intentions!$B$2:$B$344,$A39,Intentions!$H$2:$H$344,"&lt;&gt;Prévu")</f>
        <v>3</v>
      </c>
      <c r="F39" s="11" t="n">
        <f aca="false">COUNTIFS(Intentions!$B$2:$B$344,$A39,Intentions!$H$2:$H$344,"Réalisé")+COUNTIFS(Intentions!$B$2:$B$344,$A39,Intentions!$H$2:$H$344,"Partiel")</f>
        <v>1</v>
      </c>
      <c r="G39" s="12" t="n">
        <f aca="false">IF(E39=0,"",SUMIFS(Intentions!$K$2:$K$344,Intentions!$B$2:$B$344,$A39)/E39)</f>
        <v>0.333333333333333</v>
      </c>
      <c r="H39" s="11" t="n">
        <f aca="false">SUMIFS(Intentions!$G$2:$G$344,Intentions!$B$2:$B$344,$A39)</f>
        <v>150</v>
      </c>
      <c r="I39" s="11" t="n">
        <f aca="false">SUMIFS(Activites!$F$2:$F$189,Activites!$B$2:$B$189,$A39)</f>
        <v>29</v>
      </c>
      <c r="J39" s="11" t="n">
        <f aca="false">SUMIFS(Activites!$F$2:$F$189,Activites!$B$2:$B$189,$A39,Activites!$C$2:$C$189,"Spirituel")</f>
        <v>0</v>
      </c>
      <c r="K39" s="11" t="n">
        <f aca="false">SUMIFS(Activites!$F$2:$F$189,Activites!$B$2:$B$189,$A39,Activites!$C$2:$C$189,"Physique")</f>
        <v>29</v>
      </c>
      <c r="L39" s="11" t="n">
        <f aca="false">SUMIFS(Activites!$F$2:$F$189,Activites!$B$2:$B$189,$A39,Activites!$C$2:$C$189,"Études")</f>
        <v>0</v>
      </c>
      <c r="M39" s="11" t="n">
        <f aca="false">SUMIFS(Activites!$F$2:$F$189,Activites!$B$2:$B$189,$A39,Activites!$C$2:$C$189,"Professionnel")</f>
        <v>0</v>
      </c>
      <c r="N39" s="11" t="n">
        <f aca="false">SUMIFS(Activites!$F$2:$F$189,Activites!$B$2:$B$189,$A39,Activites!$C$2:$C$189,"Personnel")</f>
        <v>0</v>
      </c>
      <c r="O39" s="11" t="n">
        <f aca="false">SUMIFS(Activites!$F$2:$F$189,Activites!$B$2:$B$189,$A39,Activites!$C$2:$C$189,"Relationnel")</f>
        <v>0</v>
      </c>
      <c r="P39" s="11" t="n">
        <f aca="false">SUMIFS(Activites!$F$2:$F$189,Activites!$B$2:$B$189,$A39,Activites!$C$2:$C$189,"Loisirs et créativité")</f>
        <v>0</v>
      </c>
      <c r="Q39" s="10" t="n">
        <v>7.8</v>
      </c>
      <c r="R39" s="11"/>
      <c r="S39" s="11" t="n">
        <v>4</v>
      </c>
      <c r="T39" s="11" t="n">
        <v>5</v>
      </c>
      <c r="U39" s="11" t="n">
        <v>2</v>
      </c>
      <c r="V39" s="11" t="n">
        <v>3</v>
      </c>
      <c r="W39" s="11" t="n">
        <v>375</v>
      </c>
      <c r="X39" s="16" t="n">
        <v>4912</v>
      </c>
      <c r="Y39" s="10" t="n">
        <v>1.5</v>
      </c>
      <c r="Z39" s="11" t="n">
        <f aca="false">COUNTIFS(Reflexions!$A$2:$A$57,$A39)</f>
        <v>1</v>
      </c>
      <c r="AA39" s="17" t="s">
        <v>76</v>
      </c>
    </row>
    <row r="40" customFormat="false" ht="15" hidden="false" customHeight="false" outlineLevel="0" collapsed="false">
      <c r="A40" s="15" t="n">
        <v>46254</v>
      </c>
      <c r="B40" s="4" t="str">
        <f aca="false">INDEX({"Lundi","Mardi","Mercredi","Jeudi","Vendredi","Samedi","Dimanche"},WEEKDAY($A40,2))</f>
        <v>Jeudi</v>
      </c>
      <c r="C40" s="4" t="s">
        <v>71</v>
      </c>
      <c r="D40" s="11" t="n">
        <f aca="false">COUNTIFS(Intentions!$B$2:$B$344,$A40)</f>
        <v>3</v>
      </c>
      <c r="E40" s="11" t="n">
        <f aca="false">COUNTIFS(Intentions!$B$2:$B$344,$A40,Intentions!$H$2:$H$344,"&lt;&gt;Prévu")</f>
        <v>3</v>
      </c>
      <c r="F40" s="11" t="n">
        <f aca="false">COUNTIFS(Intentions!$B$2:$B$344,$A40,Intentions!$H$2:$H$344,"Réalisé")+COUNTIFS(Intentions!$B$2:$B$344,$A40,Intentions!$H$2:$H$344,"Partiel")</f>
        <v>2</v>
      </c>
      <c r="G40" s="12" t="n">
        <f aca="false">IF(E40=0,"",SUMIFS(Intentions!$K$2:$K$344,Intentions!$B$2:$B$344,$A40)/E40)</f>
        <v>0.5</v>
      </c>
      <c r="H40" s="11" t="n">
        <f aca="false">SUMIFS(Intentions!$G$2:$G$344,Intentions!$B$2:$B$344,$A40)</f>
        <v>210</v>
      </c>
      <c r="I40" s="11" t="n">
        <f aca="false">SUMIFS(Activites!$F$2:$F$189,Activites!$B$2:$B$189,$A40)</f>
        <v>199</v>
      </c>
      <c r="J40" s="11" t="n">
        <f aca="false">SUMIFS(Activites!$F$2:$F$189,Activites!$B$2:$B$189,$A40,Activites!$C$2:$C$189,"Spirituel")</f>
        <v>0</v>
      </c>
      <c r="K40" s="11" t="n">
        <f aca="false">SUMIFS(Activites!$F$2:$F$189,Activites!$B$2:$B$189,$A40,Activites!$C$2:$C$189,"Physique")</f>
        <v>0</v>
      </c>
      <c r="L40" s="11" t="n">
        <f aca="false">SUMIFS(Activites!$F$2:$F$189,Activites!$B$2:$B$189,$A40,Activites!$C$2:$C$189,"Études")</f>
        <v>199</v>
      </c>
      <c r="M40" s="11" t="n">
        <f aca="false">SUMIFS(Activites!$F$2:$F$189,Activites!$B$2:$B$189,$A40,Activites!$C$2:$C$189,"Professionnel")</f>
        <v>0</v>
      </c>
      <c r="N40" s="11" t="n">
        <f aca="false">SUMIFS(Activites!$F$2:$F$189,Activites!$B$2:$B$189,$A40,Activites!$C$2:$C$189,"Personnel")</f>
        <v>0</v>
      </c>
      <c r="O40" s="11" t="n">
        <f aca="false">SUMIFS(Activites!$F$2:$F$189,Activites!$B$2:$B$189,$A40,Activites!$C$2:$C$189,"Relationnel")</f>
        <v>0</v>
      </c>
      <c r="P40" s="11" t="n">
        <f aca="false">SUMIFS(Activites!$F$2:$F$189,Activites!$B$2:$B$189,$A40,Activites!$C$2:$C$189,"Loisirs et créativité")</f>
        <v>0</v>
      </c>
      <c r="Q40" s="10" t="n">
        <v>7.9</v>
      </c>
      <c r="R40" s="11"/>
      <c r="S40" s="11" t="n">
        <v>3</v>
      </c>
      <c r="T40" s="11" t="n">
        <v>3</v>
      </c>
      <c r="U40" s="11" t="n">
        <v>4</v>
      </c>
      <c r="V40" s="11" t="n">
        <v>4</v>
      </c>
      <c r="W40" s="11" t="n">
        <v>250</v>
      </c>
      <c r="X40" s="16" t="n">
        <v>9731</v>
      </c>
      <c r="Y40" s="10" t="n">
        <v>1.4</v>
      </c>
      <c r="Z40" s="11" t="n">
        <f aca="false">COUNTIFS(Reflexions!$A$2:$A$57,$A40)</f>
        <v>1</v>
      </c>
      <c r="AA40" s="17" t="s">
        <v>77</v>
      </c>
    </row>
    <row r="41" customFormat="false" ht="15" hidden="false" customHeight="false" outlineLevel="0" collapsed="false">
      <c r="A41" s="15" t="n">
        <v>46255</v>
      </c>
      <c r="B41" s="4" t="str">
        <f aca="false">INDEX({"Lundi","Mardi","Mercredi","Jeudi","Vendredi","Samedi","Dimanche"},WEEKDAY($A41,2))</f>
        <v>Vendredi</v>
      </c>
      <c r="C41" s="4" t="s">
        <v>71</v>
      </c>
      <c r="D41" s="11" t="n">
        <f aca="false">COUNTIFS(Intentions!$B$2:$B$344,$A41)</f>
        <v>3</v>
      </c>
      <c r="E41" s="11" t="n">
        <f aca="false">COUNTIFS(Intentions!$B$2:$B$344,$A41,Intentions!$H$2:$H$344,"&lt;&gt;Prévu")</f>
        <v>3</v>
      </c>
      <c r="F41" s="11" t="n">
        <f aca="false">COUNTIFS(Intentions!$B$2:$B$344,$A41,Intentions!$H$2:$H$344,"Réalisé")+COUNTIFS(Intentions!$B$2:$B$344,$A41,Intentions!$H$2:$H$344,"Partiel")</f>
        <v>2</v>
      </c>
      <c r="G41" s="12" t="n">
        <f aca="false">IF(E41=0,"",SUMIFS(Intentions!$K$2:$K$344,Intentions!$B$2:$B$344,$A41)/E41)</f>
        <v>0.666666666666667</v>
      </c>
      <c r="H41" s="11" t="n">
        <f aca="false">SUMIFS(Intentions!$G$2:$G$344,Intentions!$B$2:$B$344,$A41)</f>
        <v>85</v>
      </c>
      <c r="I41" s="11" t="n">
        <f aca="false">SUMIFS(Activites!$F$2:$F$189,Activites!$B$2:$B$189,$A41)</f>
        <v>40</v>
      </c>
      <c r="J41" s="11" t="n">
        <f aca="false">SUMIFS(Activites!$F$2:$F$189,Activites!$B$2:$B$189,$A41,Activites!$C$2:$C$189,"Spirituel")</f>
        <v>19</v>
      </c>
      <c r="K41" s="11" t="n">
        <f aca="false">SUMIFS(Activites!$F$2:$F$189,Activites!$B$2:$B$189,$A41,Activites!$C$2:$C$189,"Physique")</f>
        <v>0</v>
      </c>
      <c r="L41" s="11" t="n">
        <f aca="false">SUMIFS(Activites!$F$2:$F$189,Activites!$B$2:$B$189,$A41,Activites!$C$2:$C$189,"Études")</f>
        <v>0</v>
      </c>
      <c r="M41" s="11" t="n">
        <f aca="false">SUMIFS(Activites!$F$2:$F$189,Activites!$B$2:$B$189,$A41,Activites!$C$2:$C$189,"Professionnel")</f>
        <v>0</v>
      </c>
      <c r="N41" s="11" t="n">
        <f aca="false">SUMIFS(Activites!$F$2:$F$189,Activites!$B$2:$B$189,$A41,Activites!$C$2:$C$189,"Personnel")</f>
        <v>0</v>
      </c>
      <c r="O41" s="11" t="n">
        <f aca="false">SUMIFS(Activites!$F$2:$F$189,Activites!$B$2:$B$189,$A41,Activites!$C$2:$C$189,"Relationnel")</f>
        <v>21</v>
      </c>
      <c r="P41" s="11" t="n">
        <f aca="false">SUMIFS(Activites!$F$2:$F$189,Activites!$B$2:$B$189,$A41,Activites!$C$2:$C$189,"Loisirs et créativité")</f>
        <v>0</v>
      </c>
      <c r="Q41" s="10" t="n">
        <v>6.5</v>
      </c>
      <c r="R41" s="11"/>
      <c r="S41" s="11" t="n">
        <v>2</v>
      </c>
      <c r="T41" s="11" t="n">
        <v>1</v>
      </c>
      <c r="U41" s="11" t="n">
        <v>4</v>
      </c>
      <c r="V41" s="11" t="n">
        <v>2</v>
      </c>
      <c r="W41" s="11" t="n">
        <v>172</v>
      </c>
      <c r="X41" s="16" t="n">
        <v>7492</v>
      </c>
      <c r="Y41" s="10" t="n">
        <v>2.2</v>
      </c>
      <c r="Z41" s="11" t="n">
        <f aca="false">COUNTIFS(Reflexions!$A$2:$A$57,$A41)</f>
        <v>1</v>
      </c>
      <c r="AA41" s="17"/>
    </row>
    <row r="42" customFormat="false" ht="15" hidden="false" customHeight="false" outlineLevel="0" collapsed="false">
      <c r="A42" s="15" t="n">
        <v>46256</v>
      </c>
      <c r="B42" s="4" t="str">
        <f aca="false">INDEX({"Lundi","Mardi","Mercredi","Jeudi","Vendredi","Samedi","Dimanche"},WEEKDAY($A42,2))</f>
        <v>Samedi</v>
      </c>
      <c r="C42" s="4" t="s">
        <v>71</v>
      </c>
      <c r="D42" s="11" t="n">
        <f aca="false">COUNTIFS(Intentions!$B$2:$B$344,$A42)</f>
        <v>7</v>
      </c>
      <c r="E42" s="11" t="n">
        <f aca="false">COUNTIFS(Intentions!$B$2:$B$344,$A42,Intentions!$H$2:$H$344,"&lt;&gt;Prévu")</f>
        <v>7</v>
      </c>
      <c r="F42" s="11" t="n">
        <f aca="false">COUNTIFS(Intentions!$B$2:$B$344,$A42,Intentions!$H$2:$H$344,"Réalisé")+COUNTIFS(Intentions!$B$2:$B$344,$A42,Intentions!$H$2:$H$344,"Partiel")</f>
        <v>0</v>
      </c>
      <c r="G42" s="12" t="n">
        <f aca="false">IF(E42=0,"",SUMIFS(Intentions!$K$2:$K$344,Intentions!$B$2:$B$344,$A42)/E42)</f>
        <v>0</v>
      </c>
      <c r="H42" s="11" t="n">
        <f aca="false">SUMIFS(Intentions!$G$2:$G$344,Intentions!$B$2:$B$344,$A42)</f>
        <v>240</v>
      </c>
      <c r="I42" s="11" t="n">
        <f aca="false">SUMIFS(Activites!$F$2:$F$189,Activites!$B$2:$B$189,$A42)</f>
        <v>120</v>
      </c>
      <c r="J42" s="11" t="n">
        <f aca="false">SUMIFS(Activites!$F$2:$F$189,Activites!$B$2:$B$189,$A42,Activites!$C$2:$C$189,"Spirituel")</f>
        <v>0</v>
      </c>
      <c r="K42" s="11" t="n">
        <f aca="false">SUMIFS(Activites!$F$2:$F$189,Activites!$B$2:$B$189,$A42,Activites!$C$2:$C$189,"Physique")</f>
        <v>0</v>
      </c>
      <c r="L42" s="11" t="n">
        <f aca="false">SUMIFS(Activites!$F$2:$F$189,Activites!$B$2:$B$189,$A42,Activites!$C$2:$C$189,"Études")</f>
        <v>0</v>
      </c>
      <c r="M42" s="11" t="n">
        <f aca="false">SUMIFS(Activites!$F$2:$F$189,Activites!$B$2:$B$189,$A42,Activites!$C$2:$C$189,"Professionnel")</f>
        <v>0</v>
      </c>
      <c r="N42" s="11" t="n">
        <f aca="false">SUMIFS(Activites!$F$2:$F$189,Activites!$B$2:$B$189,$A42,Activites!$C$2:$C$189,"Personnel")</f>
        <v>0</v>
      </c>
      <c r="O42" s="11" t="n">
        <f aca="false">SUMIFS(Activites!$F$2:$F$189,Activites!$B$2:$B$189,$A42,Activites!$C$2:$C$189,"Relationnel")</f>
        <v>0</v>
      </c>
      <c r="P42" s="11" t="n">
        <f aca="false">SUMIFS(Activites!$F$2:$F$189,Activites!$B$2:$B$189,$A42,Activites!$C$2:$C$189,"Loisirs et créativité")</f>
        <v>120</v>
      </c>
      <c r="Q42" s="10" t="n">
        <v>6.9</v>
      </c>
      <c r="R42" s="11"/>
      <c r="S42" s="11" t="n">
        <v>2</v>
      </c>
      <c r="T42" s="11" t="n">
        <v>1</v>
      </c>
      <c r="U42" s="11" t="n">
        <v>2</v>
      </c>
      <c r="V42" s="11" t="n">
        <v>3</v>
      </c>
      <c r="W42" s="11" t="n">
        <v>217</v>
      </c>
      <c r="X42" s="16" t="n">
        <v>8947</v>
      </c>
      <c r="Y42" s="10" t="n">
        <v>2</v>
      </c>
      <c r="Z42" s="11" t="n">
        <f aca="false">COUNTIFS(Reflexions!$A$2:$A$57,$A42)</f>
        <v>1</v>
      </c>
      <c r="AA42" s="17"/>
    </row>
    <row r="43" customFormat="false" ht="15" hidden="false" customHeight="false" outlineLevel="0" collapsed="false">
      <c r="A43" s="15" t="n">
        <v>46257</v>
      </c>
      <c r="B43" s="4" t="str">
        <f aca="false">INDEX({"Lundi","Mardi","Mercredi","Jeudi","Vendredi","Samedi","Dimanche"},WEEKDAY($A43,2))</f>
        <v>Dimanche</v>
      </c>
      <c r="C43" s="4" t="s">
        <v>71</v>
      </c>
      <c r="D43" s="11" t="n">
        <f aca="false">COUNTIFS(Intentions!$B$2:$B$344,$A43)</f>
        <v>4</v>
      </c>
      <c r="E43" s="11" t="n">
        <f aca="false">COUNTIFS(Intentions!$B$2:$B$344,$A43,Intentions!$H$2:$H$344,"&lt;&gt;Prévu")</f>
        <v>4</v>
      </c>
      <c r="F43" s="11" t="n">
        <f aca="false">COUNTIFS(Intentions!$B$2:$B$344,$A43,Intentions!$H$2:$H$344,"Réalisé")+COUNTIFS(Intentions!$B$2:$B$344,$A43,Intentions!$H$2:$H$344,"Partiel")</f>
        <v>2</v>
      </c>
      <c r="G43" s="12" t="n">
        <f aca="false">IF(E43=0,"",SUMIFS(Intentions!$K$2:$K$344,Intentions!$B$2:$B$344,$A43)/E43)</f>
        <v>0.5</v>
      </c>
      <c r="H43" s="11" t="n">
        <f aca="false">SUMIFS(Intentions!$G$2:$G$344,Intentions!$B$2:$B$344,$A43)</f>
        <v>165</v>
      </c>
      <c r="I43" s="11" t="n">
        <f aca="false">SUMIFS(Activites!$F$2:$F$189,Activites!$B$2:$B$189,$A43)</f>
        <v>105</v>
      </c>
      <c r="J43" s="11" t="n">
        <f aca="false">SUMIFS(Activites!$F$2:$F$189,Activites!$B$2:$B$189,$A43,Activites!$C$2:$C$189,"Spirituel")</f>
        <v>0</v>
      </c>
      <c r="K43" s="11" t="n">
        <f aca="false">SUMIFS(Activites!$F$2:$F$189,Activites!$B$2:$B$189,$A43,Activites!$C$2:$C$189,"Physique")</f>
        <v>0</v>
      </c>
      <c r="L43" s="11" t="n">
        <f aca="false">SUMIFS(Activites!$F$2:$F$189,Activites!$B$2:$B$189,$A43,Activites!$C$2:$C$189,"Études")</f>
        <v>81</v>
      </c>
      <c r="M43" s="11" t="n">
        <f aca="false">SUMIFS(Activites!$F$2:$F$189,Activites!$B$2:$B$189,$A43,Activites!$C$2:$C$189,"Professionnel")</f>
        <v>0</v>
      </c>
      <c r="N43" s="11" t="n">
        <f aca="false">SUMIFS(Activites!$F$2:$F$189,Activites!$B$2:$B$189,$A43,Activites!$C$2:$C$189,"Personnel")</f>
        <v>0</v>
      </c>
      <c r="O43" s="11" t="n">
        <f aca="false">SUMIFS(Activites!$F$2:$F$189,Activites!$B$2:$B$189,$A43,Activites!$C$2:$C$189,"Relationnel")</f>
        <v>24</v>
      </c>
      <c r="P43" s="11" t="n">
        <f aca="false">SUMIFS(Activites!$F$2:$F$189,Activites!$B$2:$B$189,$A43,Activites!$C$2:$C$189,"Loisirs et créativité")</f>
        <v>0</v>
      </c>
      <c r="Q43" s="10" t="n">
        <v>7.3</v>
      </c>
      <c r="R43" s="11"/>
      <c r="S43" s="11" t="n">
        <v>3</v>
      </c>
      <c r="T43" s="11" t="n">
        <v>4</v>
      </c>
      <c r="U43" s="11" t="n">
        <v>3</v>
      </c>
      <c r="V43" s="11" t="n">
        <v>3</v>
      </c>
      <c r="W43" s="11" t="n">
        <v>169</v>
      </c>
      <c r="X43" s="16" t="n">
        <v>5505</v>
      </c>
      <c r="Y43" s="10" t="n">
        <v>1.3</v>
      </c>
      <c r="Z43" s="11" t="n">
        <f aca="false">COUNTIFS(Reflexions!$A$2:$A$57,$A43)</f>
        <v>1</v>
      </c>
      <c r="AA43" s="17"/>
    </row>
    <row r="44" customFormat="false" ht="15" hidden="false" customHeight="false" outlineLevel="0" collapsed="false">
      <c r="A44" s="15" t="n">
        <v>46258</v>
      </c>
      <c r="B44" s="4" t="str">
        <f aca="false">INDEX({"Lundi","Mardi","Mercredi","Jeudi","Vendredi","Samedi","Dimanche"},WEEKDAY($A44,2))</f>
        <v>Lundi</v>
      </c>
      <c r="C44" s="4" t="s">
        <v>71</v>
      </c>
      <c r="D44" s="11" t="n">
        <f aca="false">COUNTIFS(Intentions!$B$2:$B$344,$A44)</f>
        <v>2</v>
      </c>
      <c r="E44" s="11" t="n">
        <f aca="false">COUNTIFS(Intentions!$B$2:$B$344,$A44,Intentions!$H$2:$H$344,"&lt;&gt;Prévu")</f>
        <v>2</v>
      </c>
      <c r="F44" s="11" t="n">
        <f aca="false">COUNTIFS(Intentions!$B$2:$B$344,$A44,Intentions!$H$2:$H$344,"Réalisé")+COUNTIFS(Intentions!$B$2:$B$344,$A44,Intentions!$H$2:$H$344,"Partiel")</f>
        <v>0</v>
      </c>
      <c r="G44" s="12" t="n">
        <f aca="false">IF(E44=0,"",SUMIFS(Intentions!$K$2:$K$344,Intentions!$B$2:$B$344,$A44)/E44)</f>
        <v>0</v>
      </c>
      <c r="H44" s="11" t="n">
        <f aca="false">SUMIFS(Intentions!$G$2:$G$344,Intentions!$B$2:$B$344,$A44)</f>
        <v>75</v>
      </c>
      <c r="I44" s="11" t="n">
        <f aca="false">SUMIFS(Activites!$F$2:$F$189,Activites!$B$2:$B$189,$A44)</f>
        <v>0</v>
      </c>
      <c r="J44" s="11" t="n">
        <f aca="false">SUMIFS(Activites!$F$2:$F$189,Activites!$B$2:$B$189,$A44,Activites!$C$2:$C$189,"Spirituel")</f>
        <v>0</v>
      </c>
      <c r="K44" s="11" t="n">
        <f aca="false">SUMIFS(Activites!$F$2:$F$189,Activites!$B$2:$B$189,$A44,Activites!$C$2:$C$189,"Physique")</f>
        <v>0</v>
      </c>
      <c r="L44" s="11" t="n">
        <f aca="false">SUMIFS(Activites!$F$2:$F$189,Activites!$B$2:$B$189,$A44,Activites!$C$2:$C$189,"Études")</f>
        <v>0</v>
      </c>
      <c r="M44" s="11" t="n">
        <f aca="false">SUMIFS(Activites!$F$2:$F$189,Activites!$B$2:$B$189,$A44,Activites!$C$2:$C$189,"Professionnel")</f>
        <v>0</v>
      </c>
      <c r="N44" s="11" t="n">
        <f aca="false">SUMIFS(Activites!$F$2:$F$189,Activites!$B$2:$B$189,$A44,Activites!$C$2:$C$189,"Personnel")</f>
        <v>0</v>
      </c>
      <c r="O44" s="11" t="n">
        <f aca="false">SUMIFS(Activites!$F$2:$F$189,Activites!$B$2:$B$189,$A44,Activites!$C$2:$C$189,"Relationnel")</f>
        <v>0</v>
      </c>
      <c r="P44" s="11" t="n">
        <f aca="false">SUMIFS(Activites!$F$2:$F$189,Activites!$B$2:$B$189,$A44,Activites!$C$2:$C$189,"Loisirs et créativité")</f>
        <v>0</v>
      </c>
      <c r="Q44" s="10" t="n">
        <v>7.4</v>
      </c>
      <c r="R44" s="11"/>
      <c r="S44" s="11" t="n">
        <v>3</v>
      </c>
      <c r="T44" s="11" t="n">
        <v>4</v>
      </c>
      <c r="U44" s="11" t="n">
        <v>2</v>
      </c>
      <c r="V44" s="11" t="n">
        <v>5</v>
      </c>
      <c r="W44" s="11" t="n">
        <v>189</v>
      </c>
      <c r="X44" s="16" t="n">
        <v>6859</v>
      </c>
      <c r="Y44" s="10" t="n">
        <v>1.8</v>
      </c>
      <c r="Z44" s="11" t="n">
        <f aca="false">COUNTIFS(Reflexions!$A$2:$A$57,$A44)</f>
        <v>2</v>
      </c>
      <c r="AA44" s="17"/>
    </row>
    <row r="45" customFormat="false" ht="15" hidden="false" customHeight="false" outlineLevel="0" collapsed="false">
      <c r="A45" s="15" t="n">
        <v>46259</v>
      </c>
      <c r="B45" s="4" t="str">
        <f aca="false">INDEX({"Lundi","Mardi","Mercredi","Jeudi","Vendredi","Samedi","Dimanche"},WEEKDAY($A45,2))</f>
        <v>Mardi</v>
      </c>
      <c r="C45" s="4" t="s">
        <v>71</v>
      </c>
      <c r="D45" s="11" t="n">
        <f aca="false">COUNTIFS(Intentions!$B$2:$B$344,$A45)</f>
        <v>5</v>
      </c>
      <c r="E45" s="11" t="n">
        <f aca="false">COUNTIFS(Intentions!$B$2:$B$344,$A45,Intentions!$H$2:$H$344,"&lt;&gt;Prévu")</f>
        <v>5</v>
      </c>
      <c r="F45" s="11" t="n">
        <f aca="false">COUNTIFS(Intentions!$B$2:$B$344,$A45,Intentions!$H$2:$H$344,"Réalisé")+COUNTIFS(Intentions!$B$2:$B$344,$A45,Intentions!$H$2:$H$344,"Partiel")</f>
        <v>1</v>
      </c>
      <c r="G45" s="12" t="n">
        <f aca="false">IF(E45=0,"",SUMIFS(Intentions!$K$2:$K$344,Intentions!$B$2:$B$344,$A45)/E45)</f>
        <v>0.2</v>
      </c>
      <c r="H45" s="11" t="n">
        <f aca="false">SUMIFS(Intentions!$G$2:$G$344,Intentions!$B$2:$B$344,$A45)</f>
        <v>210</v>
      </c>
      <c r="I45" s="11" t="n">
        <f aca="false">SUMIFS(Activites!$F$2:$F$189,Activites!$B$2:$B$189,$A45)</f>
        <v>89</v>
      </c>
      <c r="J45" s="11" t="n">
        <f aca="false">SUMIFS(Activites!$F$2:$F$189,Activites!$B$2:$B$189,$A45,Activites!$C$2:$C$189,"Spirituel")</f>
        <v>0</v>
      </c>
      <c r="K45" s="11" t="n">
        <f aca="false">SUMIFS(Activites!$F$2:$F$189,Activites!$B$2:$B$189,$A45,Activites!$C$2:$C$189,"Physique")</f>
        <v>0</v>
      </c>
      <c r="L45" s="11" t="n">
        <f aca="false">SUMIFS(Activites!$F$2:$F$189,Activites!$B$2:$B$189,$A45,Activites!$C$2:$C$189,"Études")</f>
        <v>0</v>
      </c>
      <c r="M45" s="11" t="n">
        <f aca="false">SUMIFS(Activites!$F$2:$F$189,Activites!$B$2:$B$189,$A45,Activites!$C$2:$C$189,"Professionnel")</f>
        <v>89</v>
      </c>
      <c r="N45" s="11" t="n">
        <f aca="false">SUMIFS(Activites!$F$2:$F$189,Activites!$B$2:$B$189,$A45,Activites!$C$2:$C$189,"Personnel")</f>
        <v>0</v>
      </c>
      <c r="O45" s="11" t="n">
        <f aca="false">SUMIFS(Activites!$F$2:$F$189,Activites!$B$2:$B$189,$A45,Activites!$C$2:$C$189,"Relationnel")</f>
        <v>0</v>
      </c>
      <c r="P45" s="11" t="n">
        <f aca="false">SUMIFS(Activites!$F$2:$F$189,Activites!$B$2:$B$189,$A45,Activites!$C$2:$C$189,"Loisirs et créativité")</f>
        <v>0</v>
      </c>
      <c r="Q45" s="10" t="n">
        <v>5.9</v>
      </c>
      <c r="R45" s="11"/>
      <c r="S45" s="11" t="n">
        <v>2</v>
      </c>
      <c r="T45" s="11" t="n">
        <v>1</v>
      </c>
      <c r="U45" s="11" t="n">
        <v>3</v>
      </c>
      <c r="V45" s="11" t="n">
        <v>4</v>
      </c>
      <c r="W45" s="11" t="n">
        <v>235</v>
      </c>
      <c r="X45" s="16" t="n">
        <v>6337</v>
      </c>
      <c r="Y45" s="10" t="n">
        <v>1.7</v>
      </c>
      <c r="Z45" s="11" t="n">
        <f aca="false">COUNTIFS(Reflexions!$A$2:$A$57,$A45)</f>
        <v>1</v>
      </c>
      <c r="AA45" s="17"/>
    </row>
    <row r="46" customFormat="false" ht="15" hidden="false" customHeight="false" outlineLevel="0" collapsed="false">
      <c r="A46" s="15" t="n">
        <v>46260</v>
      </c>
      <c r="B46" s="4" t="str">
        <f aca="false">INDEX({"Lundi","Mardi","Mercredi","Jeudi","Vendredi","Samedi","Dimanche"},WEEKDAY($A46,2))</f>
        <v>Mercredi</v>
      </c>
      <c r="C46" s="4" t="s">
        <v>71</v>
      </c>
      <c r="D46" s="11" t="n">
        <f aca="false">COUNTIFS(Intentions!$B$2:$B$344,$A46)</f>
        <v>4</v>
      </c>
      <c r="E46" s="11" t="n">
        <f aca="false">COUNTIFS(Intentions!$B$2:$B$344,$A46,Intentions!$H$2:$H$344,"&lt;&gt;Prévu")</f>
        <v>4</v>
      </c>
      <c r="F46" s="11" t="n">
        <f aca="false">COUNTIFS(Intentions!$B$2:$B$344,$A46,Intentions!$H$2:$H$344,"Réalisé")+COUNTIFS(Intentions!$B$2:$B$344,$A46,Intentions!$H$2:$H$344,"Partiel")</f>
        <v>2</v>
      </c>
      <c r="G46" s="12" t="n">
        <f aca="false">IF(E46=0,"",SUMIFS(Intentions!$K$2:$K$344,Intentions!$B$2:$B$344,$A46)/E46)</f>
        <v>0.5</v>
      </c>
      <c r="H46" s="11" t="n">
        <f aca="false">SUMIFS(Intentions!$G$2:$G$344,Intentions!$B$2:$B$344,$A46)</f>
        <v>150</v>
      </c>
      <c r="I46" s="11" t="n">
        <f aca="false">SUMIFS(Activites!$F$2:$F$189,Activites!$B$2:$B$189,$A46)</f>
        <v>123</v>
      </c>
      <c r="J46" s="11" t="n">
        <f aca="false">SUMIFS(Activites!$F$2:$F$189,Activites!$B$2:$B$189,$A46,Activites!$C$2:$C$189,"Spirituel")</f>
        <v>0</v>
      </c>
      <c r="K46" s="11" t="n">
        <f aca="false">SUMIFS(Activites!$F$2:$F$189,Activites!$B$2:$B$189,$A46,Activites!$C$2:$C$189,"Physique")</f>
        <v>24</v>
      </c>
      <c r="L46" s="11" t="n">
        <f aca="false">SUMIFS(Activites!$F$2:$F$189,Activites!$B$2:$B$189,$A46,Activites!$C$2:$C$189,"Études")</f>
        <v>0</v>
      </c>
      <c r="M46" s="11" t="n">
        <f aca="false">SUMIFS(Activites!$F$2:$F$189,Activites!$B$2:$B$189,$A46,Activites!$C$2:$C$189,"Professionnel")</f>
        <v>0</v>
      </c>
      <c r="N46" s="11" t="n">
        <f aca="false">SUMIFS(Activites!$F$2:$F$189,Activites!$B$2:$B$189,$A46,Activites!$C$2:$C$189,"Personnel")</f>
        <v>0</v>
      </c>
      <c r="O46" s="11" t="n">
        <f aca="false">SUMIFS(Activites!$F$2:$F$189,Activites!$B$2:$B$189,$A46,Activites!$C$2:$C$189,"Relationnel")</f>
        <v>0</v>
      </c>
      <c r="P46" s="11" t="n">
        <f aca="false">SUMIFS(Activites!$F$2:$F$189,Activites!$B$2:$B$189,$A46,Activites!$C$2:$C$189,"Loisirs et créativité")</f>
        <v>99</v>
      </c>
      <c r="Q46" s="10" t="n">
        <v>8.1</v>
      </c>
      <c r="R46" s="11"/>
      <c r="S46" s="11" t="n">
        <v>4</v>
      </c>
      <c r="T46" s="11" t="n">
        <v>3</v>
      </c>
      <c r="U46" s="11" t="n">
        <v>4</v>
      </c>
      <c r="V46" s="11" t="n">
        <v>3</v>
      </c>
      <c r="W46" s="11" t="n">
        <v>239</v>
      </c>
      <c r="X46" s="16" t="n">
        <v>6712</v>
      </c>
      <c r="Y46" s="10" t="n">
        <v>2.3</v>
      </c>
      <c r="Z46" s="11" t="n">
        <f aca="false">COUNTIFS(Reflexions!$A$2:$A$57,$A46)</f>
        <v>1</v>
      </c>
      <c r="AA46" s="17"/>
    </row>
    <row r="47" customFormat="false" ht="15" hidden="false" customHeight="false" outlineLevel="0" collapsed="false">
      <c r="A47" s="15" t="n">
        <v>46261</v>
      </c>
      <c r="B47" s="4" t="str">
        <f aca="false">INDEX({"Lundi","Mardi","Mercredi","Jeudi","Vendredi","Samedi","Dimanche"},WEEKDAY($A47,2))</f>
        <v>Jeudi</v>
      </c>
      <c r="C47" s="4" t="s">
        <v>72</v>
      </c>
      <c r="D47" s="11" t="n">
        <f aca="false">COUNTIFS(Intentions!$B$2:$B$344,$A47)</f>
        <v>0</v>
      </c>
      <c r="E47" s="11" t="n">
        <f aca="false">COUNTIFS(Intentions!$B$2:$B$344,$A47,Intentions!$H$2:$H$344,"&lt;&gt;Prévu")</f>
        <v>0</v>
      </c>
      <c r="F47" s="11" t="n">
        <f aca="false">COUNTIFS(Intentions!$B$2:$B$344,$A47,Intentions!$H$2:$H$344,"Réalisé")+COUNTIFS(Intentions!$B$2:$B$344,$A47,Intentions!$H$2:$H$344,"Partiel")</f>
        <v>0</v>
      </c>
      <c r="G47" s="12" t="str">
        <f aca="false">IF(E47=0,"",SUMIFS(Intentions!$K$2:$K$344,Intentions!$B$2:$B$344,$A47)/E47)</f>
        <v/>
      </c>
      <c r="H47" s="11" t="n">
        <f aca="false">SUMIFS(Intentions!$G$2:$G$344,Intentions!$B$2:$B$344,$A47)</f>
        <v>0</v>
      </c>
      <c r="I47" s="11" t="n">
        <f aca="false">SUMIFS(Activites!$F$2:$F$189,Activites!$B$2:$B$189,$A47)</f>
        <v>0</v>
      </c>
      <c r="J47" s="11" t="n">
        <f aca="false">SUMIFS(Activites!$F$2:$F$189,Activites!$B$2:$B$189,$A47,Activites!$C$2:$C$189,"Spirituel")</f>
        <v>0</v>
      </c>
      <c r="K47" s="11" t="n">
        <f aca="false">SUMIFS(Activites!$F$2:$F$189,Activites!$B$2:$B$189,$A47,Activites!$C$2:$C$189,"Physique")</f>
        <v>0</v>
      </c>
      <c r="L47" s="11" t="n">
        <f aca="false">SUMIFS(Activites!$F$2:$F$189,Activites!$B$2:$B$189,$A47,Activites!$C$2:$C$189,"Études")</f>
        <v>0</v>
      </c>
      <c r="M47" s="11" t="n">
        <f aca="false">SUMIFS(Activites!$F$2:$F$189,Activites!$B$2:$B$189,$A47,Activites!$C$2:$C$189,"Professionnel")</f>
        <v>0</v>
      </c>
      <c r="N47" s="11" t="n">
        <f aca="false">SUMIFS(Activites!$F$2:$F$189,Activites!$B$2:$B$189,$A47,Activites!$C$2:$C$189,"Personnel")</f>
        <v>0</v>
      </c>
      <c r="O47" s="11" t="n">
        <f aca="false">SUMIFS(Activites!$F$2:$F$189,Activites!$B$2:$B$189,$A47,Activites!$C$2:$C$189,"Relationnel")</f>
        <v>0</v>
      </c>
      <c r="P47" s="11" t="n">
        <f aca="false">SUMIFS(Activites!$F$2:$F$189,Activites!$B$2:$B$189,$A47,Activites!$C$2:$C$189,"Loisirs et créativité")</f>
        <v>0</v>
      </c>
      <c r="Q47" s="10"/>
      <c r="R47" s="11"/>
      <c r="S47" s="11"/>
      <c r="T47" s="11"/>
      <c r="U47" s="11"/>
      <c r="V47" s="11"/>
      <c r="W47" s="11"/>
      <c r="X47" s="16"/>
      <c r="Y47" s="10"/>
      <c r="Z47" s="11" t="n">
        <f aca="false">COUNTIFS(Reflexions!$A$2:$A$57,$A47)</f>
        <v>0</v>
      </c>
      <c r="AA47" s="17"/>
    </row>
    <row r="48" customFormat="false" ht="15" hidden="false" customHeight="false" outlineLevel="0" collapsed="false">
      <c r="A48" s="15" t="n">
        <v>46262</v>
      </c>
      <c r="B48" s="4" t="str">
        <f aca="false">INDEX({"Lundi","Mardi","Mercredi","Jeudi","Vendredi","Samedi","Dimanche"},WEEKDAY($A48,2))</f>
        <v>Vendredi</v>
      </c>
      <c r="C48" s="4" t="s">
        <v>71</v>
      </c>
      <c r="D48" s="11" t="n">
        <f aca="false">COUNTIFS(Intentions!$B$2:$B$344,$A48)</f>
        <v>4</v>
      </c>
      <c r="E48" s="11" t="n">
        <f aca="false">COUNTIFS(Intentions!$B$2:$B$344,$A48,Intentions!$H$2:$H$344,"&lt;&gt;Prévu")</f>
        <v>4</v>
      </c>
      <c r="F48" s="11" t="n">
        <f aca="false">COUNTIFS(Intentions!$B$2:$B$344,$A48,Intentions!$H$2:$H$344,"Réalisé")+COUNTIFS(Intentions!$B$2:$B$344,$A48,Intentions!$H$2:$H$344,"Partiel")</f>
        <v>2</v>
      </c>
      <c r="G48" s="12" t="n">
        <f aca="false">IF(E48=0,"",SUMIFS(Intentions!$K$2:$K$344,Intentions!$B$2:$B$344,$A48)/E48)</f>
        <v>0.5</v>
      </c>
      <c r="H48" s="11" t="n">
        <f aca="false">SUMIFS(Intentions!$G$2:$G$344,Intentions!$B$2:$B$344,$A48)</f>
        <v>195</v>
      </c>
      <c r="I48" s="11" t="n">
        <f aca="false">SUMIFS(Activites!$F$2:$F$189,Activites!$B$2:$B$189,$A48)</f>
        <v>139</v>
      </c>
      <c r="J48" s="11" t="n">
        <f aca="false">SUMIFS(Activites!$F$2:$F$189,Activites!$B$2:$B$189,$A48,Activites!$C$2:$C$189,"Spirituel")</f>
        <v>0</v>
      </c>
      <c r="K48" s="11" t="n">
        <f aca="false">SUMIFS(Activites!$F$2:$F$189,Activites!$B$2:$B$189,$A48,Activites!$C$2:$C$189,"Physique")</f>
        <v>0</v>
      </c>
      <c r="L48" s="11" t="n">
        <f aca="false">SUMIFS(Activites!$F$2:$F$189,Activites!$B$2:$B$189,$A48,Activites!$C$2:$C$189,"Études")</f>
        <v>139</v>
      </c>
      <c r="M48" s="11" t="n">
        <f aca="false">SUMIFS(Activites!$F$2:$F$189,Activites!$B$2:$B$189,$A48,Activites!$C$2:$C$189,"Professionnel")</f>
        <v>0</v>
      </c>
      <c r="N48" s="11" t="n">
        <f aca="false">SUMIFS(Activites!$F$2:$F$189,Activites!$B$2:$B$189,$A48,Activites!$C$2:$C$189,"Personnel")</f>
        <v>0</v>
      </c>
      <c r="O48" s="11" t="n">
        <f aca="false">SUMIFS(Activites!$F$2:$F$189,Activites!$B$2:$B$189,$A48,Activites!$C$2:$C$189,"Relationnel")</f>
        <v>0</v>
      </c>
      <c r="P48" s="11" t="n">
        <f aca="false">SUMIFS(Activites!$F$2:$F$189,Activites!$B$2:$B$189,$A48,Activites!$C$2:$C$189,"Loisirs et créativité")</f>
        <v>0</v>
      </c>
      <c r="Q48" s="10" t="n">
        <v>6.9</v>
      </c>
      <c r="R48" s="11"/>
      <c r="S48" s="11" t="n">
        <v>3</v>
      </c>
      <c r="T48" s="11" t="n">
        <v>4</v>
      </c>
      <c r="U48" s="11" t="n">
        <v>4</v>
      </c>
      <c r="V48" s="11" t="n">
        <v>1</v>
      </c>
      <c r="W48" s="11" t="n">
        <v>243</v>
      </c>
      <c r="X48" s="16" t="n">
        <v>4534</v>
      </c>
      <c r="Y48" s="10" t="n">
        <v>1.5</v>
      </c>
      <c r="Z48" s="11" t="n">
        <f aca="false">COUNTIFS(Reflexions!$A$2:$A$57,$A48)</f>
        <v>0</v>
      </c>
      <c r="AA48" s="17"/>
    </row>
    <row r="49" customFormat="false" ht="15" hidden="false" customHeight="false" outlineLevel="0" collapsed="false">
      <c r="A49" s="15" t="n">
        <v>46263</v>
      </c>
      <c r="B49" s="4" t="str">
        <f aca="false">INDEX({"Lundi","Mardi","Mercredi","Jeudi","Vendredi","Samedi","Dimanche"},WEEKDAY($A49,2))</f>
        <v>Samedi</v>
      </c>
      <c r="C49" s="4" t="s">
        <v>71</v>
      </c>
      <c r="D49" s="11" t="n">
        <f aca="false">COUNTIFS(Intentions!$B$2:$B$344,$A49)</f>
        <v>4</v>
      </c>
      <c r="E49" s="11" t="n">
        <f aca="false">COUNTIFS(Intentions!$B$2:$B$344,$A49,Intentions!$H$2:$H$344,"&lt;&gt;Prévu")</f>
        <v>4</v>
      </c>
      <c r="F49" s="11" t="n">
        <f aca="false">COUNTIFS(Intentions!$B$2:$B$344,$A49,Intentions!$H$2:$H$344,"Réalisé")+COUNTIFS(Intentions!$B$2:$B$344,$A49,Intentions!$H$2:$H$344,"Partiel")</f>
        <v>3</v>
      </c>
      <c r="G49" s="12" t="n">
        <f aca="false">IF(E49=0,"",SUMIFS(Intentions!$K$2:$K$344,Intentions!$B$2:$B$344,$A49)/E49)</f>
        <v>0.75</v>
      </c>
      <c r="H49" s="11" t="n">
        <f aca="false">SUMIFS(Intentions!$G$2:$G$344,Intentions!$B$2:$B$344,$A49)</f>
        <v>225</v>
      </c>
      <c r="I49" s="11" t="n">
        <f aca="false">SUMIFS(Activites!$F$2:$F$189,Activites!$B$2:$B$189,$A49)</f>
        <v>133</v>
      </c>
      <c r="J49" s="11" t="n">
        <f aca="false">SUMIFS(Activites!$F$2:$F$189,Activites!$B$2:$B$189,$A49,Activites!$C$2:$C$189,"Spirituel")</f>
        <v>24</v>
      </c>
      <c r="K49" s="11" t="n">
        <f aca="false">SUMIFS(Activites!$F$2:$F$189,Activites!$B$2:$B$189,$A49,Activites!$C$2:$C$189,"Physique")</f>
        <v>0</v>
      </c>
      <c r="L49" s="11" t="n">
        <f aca="false">SUMIFS(Activites!$F$2:$F$189,Activites!$B$2:$B$189,$A49,Activites!$C$2:$C$189,"Études")</f>
        <v>80</v>
      </c>
      <c r="M49" s="11" t="n">
        <f aca="false">SUMIFS(Activites!$F$2:$F$189,Activites!$B$2:$B$189,$A49,Activites!$C$2:$C$189,"Professionnel")</f>
        <v>0</v>
      </c>
      <c r="N49" s="11" t="n">
        <f aca="false">SUMIFS(Activites!$F$2:$F$189,Activites!$B$2:$B$189,$A49,Activites!$C$2:$C$189,"Personnel")</f>
        <v>0</v>
      </c>
      <c r="O49" s="11" t="n">
        <f aca="false">SUMIFS(Activites!$F$2:$F$189,Activites!$B$2:$B$189,$A49,Activites!$C$2:$C$189,"Relationnel")</f>
        <v>0</v>
      </c>
      <c r="P49" s="11" t="n">
        <f aca="false">SUMIFS(Activites!$F$2:$F$189,Activites!$B$2:$B$189,$A49,Activites!$C$2:$C$189,"Loisirs et créativité")</f>
        <v>29</v>
      </c>
      <c r="Q49" s="10" t="n">
        <v>6.3</v>
      </c>
      <c r="R49" s="11"/>
      <c r="S49" s="11" t="n">
        <v>3</v>
      </c>
      <c r="T49" s="11" t="n">
        <v>3</v>
      </c>
      <c r="U49" s="11" t="n">
        <v>4</v>
      </c>
      <c r="V49" s="11" t="n">
        <v>2</v>
      </c>
      <c r="W49" s="11" t="n">
        <v>239</v>
      </c>
      <c r="X49" s="16" t="n">
        <v>4894</v>
      </c>
      <c r="Y49" s="10" t="n">
        <v>1.9</v>
      </c>
      <c r="Z49" s="11" t="n">
        <f aca="false">COUNTIFS(Reflexions!$A$2:$A$57,$A49)</f>
        <v>0</v>
      </c>
      <c r="AA49" s="17"/>
    </row>
    <row r="50" customFormat="false" ht="15" hidden="false" customHeight="false" outlineLevel="0" collapsed="false">
      <c r="A50" s="15" t="n">
        <v>46264</v>
      </c>
      <c r="B50" s="4" t="str">
        <f aca="false">INDEX({"Lundi","Mardi","Mercredi","Jeudi","Vendredi","Samedi","Dimanche"},WEEKDAY($A50,2))</f>
        <v>Dimanche</v>
      </c>
      <c r="C50" s="4" t="s">
        <v>71</v>
      </c>
      <c r="D50" s="11" t="n">
        <f aca="false">COUNTIFS(Intentions!$B$2:$B$344,$A50)</f>
        <v>3</v>
      </c>
      <c r="E50" s="11" t="n">
        <f aca="false">COUNTIFS(Intentions!$B$2:$B$344,$A50,Intentions!$H$2:$H$344,"&lt;&gt;Prévu")</f>
        <v>3</v>
      </c>
      <c r="F50" s="11" t="n">
        <f aca="false">COUNTIFS(Intentions!$B$2:$B$344,$A50,Intentions!$H$2:$H$344,"Réalisé")+COUNTIFS(Intentions!$B$2:$B$344,$A50,Intentions!$H$2:$H$344,"Partiel")</f>
        <v>1</v>
      </c>
      <c r="G50" s="12" t="n">
        <f aca="false">IF(E50=0,"",SUMIFS(Intentions!$K$2:$K$344,Intentions!$B$2:$B$344,$A50)/E50)</f>
        <v>0.333333333333333</v>
      </c>
      <c r="H50" s="11" t="n">
        <f aca="false">SUMIFS(Intentions!$G$2:$G$344,Intentions!$B$2:$B$344,$A50)</f>
        <v>210</v>
      </c>
      <c r="I50" s="11" t="n">
        <f aca="false">SUMIFS(Activites!$F$2:$F$189,Activites!$B$2:$B$189,$A50)</f>
        <v>159</v>
      </c>
      <c r="J50" s="11" t="n">
        <f aca="false">SUMIFS(Activites!$F$2:$F$189,Activites!$B$2:$B$189,$A50,Activites!$C$2:$C$189,"Spirituel")</f>
        <v>0</v>
      </c>
      <c r="K50" s="11" t="n">
        <f aca="false">SUMIFS(Activites!$F$2:$F$189,Activites!$B$2:$B$189,$A50,Activites!$C$2:$C$189,"Physique")</f>
        <v>0</v>
      </c>
      <c r="L50" s="11" t="n">
        <f aca="false">SUMIFS(Activites!$F$2:$F$189,Activites!$B$2:$B$189,$A50,Activites!$C$2:$C$189,"Études")</f>
        <v>69</v>
      </c>
      <c r="M50" s="11" t="n">
        <f aca="false">SUMIFS(Activites!$F$2:$F$189,Activites!$B$2:$B$189,$A50,Activites!$C$2:$C$189,"Professionnel")</f>
        <v>0</v>
      </c>
      <c r="N50" s="11" t="n">
        <f aca="false">SUMIFS(Activites!$F$2:$F$189,Activites!$B$2:$B$189,$A50,Activites!$C$2:$C$189,"Personnel")</f>
        <v>0</v>
      </c>
      <c r="O50" s="11" t="n">
        <f aca="false">SUMIFS(Activites!$F$2:$F$189,Activites!$B$2:$B$189,$A50,Activites!$C$2:$C$189,"Relationnel")</f>
        <v>0</v>
      </c>
      <c r="P50" s="11" t="n">
        <f aca="false">SUMIFS(Activites!$F$2:$F$189,Activites!$B$2:$B$189,$A50,Activites!$C$2:$C$189,"Loisirs et créativité")</f>
        <v>90</v>
      </c>
      <c r="Q50" s="10" t="n">
        <v>7</v>
      </c>
      <c r="R50" s="11"/>
      <c r="S50" s="11" t="n">
        <v>3</v>
      </c>
      <c r="T50" s="11" t="n">
        <v>4</v>
      </c>
      <c r="U50" s="11" t="n">
        <v>2</v>
      </c>
      <c r="V50" s="11" t="n">
        <v>4</v>
      </c>
      <c r="W50" s="11" t="n">
        <v>248</v>
      </c>
      <c r="X50" s="16" t="n">
        <v>6117</v>
      </c>
      <c r="Y50" s="10" t="n">
        <v>1.3</v>
      </c>
      <c r="Z50" s="11" t="n">
        <f aca="false">COUNTIFS(Reflexions!$A$2:$A$57,$A50)</f>
        <v>1</v>
      </c>
      <c r="AA50" s="17"/>
    </row>
    <row r="51" customFormat="false" ht="15" hidden="false" customHeight="false" outlineLevel="0" collapsed="false">
      <c r="A51" s="15" t="n">
        <v>46265</v>
      </c>
      <c r="B51" s="4" t="str">
        <f aca="false">INDEX({"Lundi","Mardi","Mercredi","Jeudi","Vendredi","Samedi","Dimanche"},WEEKDAY($A51,2))</f>
        <v>Lundi</v>
      </c>
      <c r="C51" s="4" t="s">
        <v>71</v>
      </c>
      <c r="D51" s="11" t="n">
        <f aca="false">COUNTIFS(Intentions!$B$2:$B$344,$A51)</f>
        <v>3</v>
      </c>
      <c r="E51" s="11" t="n">
        <f aca="false">COUNTIFS(Intentions!$B$2:$B$344,$A51,Intentions!$H$2:$H$344,"&lt;&gt;Prévu")</f>
        <v>3</v>
      </c>
      <c r="F51" s="11" t="n">
        <f aca="false">COUNTIFS(Intentions!$B$2:$B$344,$A51,Intentions!$H$2:$H$344,"Réalisé")+COUNTIFS(Intentions!$B$2:$B$344,$A51,Intentions!$H$2:$H$344,"Partiel")</f>
        <v>3</v>
      </c>
      <c r="G51" s="12" t="n">
        <f aca="false">IF(E51=0,"",SUMIFS(Intentions!$K$2:$K$344,Intentions!$B$2:$B$344,$A51)/E51)</f>
        <v>1</v>
      </c>
      <c r="H51" s="11" t="n">
        <f aca="false">SUMIFS(Intentions!$G$2:$G$344,Intentions!$B$2:$B$344,$A51)</f>
        <v>130</v>
      </c>
      <c r="I51" s="11" t="n">
        <f aca="false">SUMIFS(Activites!$F$2:$F$189,Activites!$B$2:$B$189,$A51)</f>
        <v>223</v>
      </c>
      <c r="J51" s="11" t="n">
        <f aca="false">SUMIFS(Activites!$F$2:$F$189,Activites!$B$2:$B$189,$A51,Activites!$C$2:$C$189,"Spirituel")</f>
        <v>0</v>
      </c>
      <c r="K51" s="11" t="n">
        <f aca="false">SUMIFS(Activites!$F$2:$F$189,Activites!$B$2:$B$189,$A51,Activites!$C$2:$C$189,"Physique")</f>
        <v>27</v>
      </c>
      <c r="L51" s="11" t="n">
        <f aca="false">SUMIFS(Activites!$F$2:$F$189,Activites!$B$2:$B$189,$A51,Activites!$C$2:$C$189,"Études")</f>
        <v>78</v>
      </c>
      <c r="M51" s="11" t="n">
        <f aca="false">SUMIFS(Activites!$F$2:$F$189,Activites!$B$2:$B$189,$A51,Activites!$C$2:$C$189,"Professionnel")</f>
        <v>0</v>
      </c>
      <c r="N51" s="11" t="n">
        <f aca="false">SUMIFS(Activites!$F$2:$F$189,Activites!$B$2:$B$189,$A51,Activites!$C$2:$C$189,"Personnel")</f>
        <v>0</v>
      </c>
      <c r="O51" s="11" t="n">
        <f aca="false">SUMIFS(Activites!$F$2:$F$189,Activites!$B$2:$B$189,$A51,Activites!$C$2:$C$189,"Relationnel")</f>
        <v>0</v>
      </c>
      <c r="P51" s="11" t="n">
        <f aca="false">SUMIFS(Activites!$F$2:$F$189,Activites!$B$2:$B$189,$A51,Activites!$C$2:$C$189,"Loisirs et créativité")</f>
        <v>118</v>
      </c>
      <c r="Q51" s="10" t="n">
        <v>8.3</v>
      </c>
      <c r="R51" s="11"/>
      <c r="S51" s="11" t="n">
        <v>3</v>
      </c>
      <c r="T51" s="11" t="n">
        <v>4</v>
      </c>
      <c r="U51" s="11" t="n">
        <v>5</v>
      </c>
      <c r="V51" s="11" t="n">
        <v>2</v>
      </c>
      <c r="W51" s="11" t="n">
        <v>144</v>
      </c>
      <c r="X51" s="16" t="n">
        <v>6141</v>
      </c>
      <c r="Y51" s="10" t="n">
        <v>2.2</v>
      </c>
      <c r="Z51" s="11" t="n">
        <f aca="false">COUNTIFS(Reflexions!$A$2:$A$57,$A51)</f>
        <v>1</v>
      </c>
      <c r="AA51" s="17"/>
    </row>
    <row r="52" customFormat="false" ht="15" hidden="false" customHeight="false" outlineLevel="0" collapsed="false">
      <c r="A52" s="15" t="n">
        <v>46266</v>
      </c>
      <c r="B52" s="4" t="str">
        <f aca="false">INDEX({"Lundi","Mardi","Mercredi","Jeudi","Vendredi","Samedi","Dimanche"},WEEKDAY($A52,2))</f>
        <v>Mardi</v>
      </c>
      <c r="C52" s="4" t="s">
        <v>72</v>
      </c>
      <c r="D52" s="11" t="n">
        <f aca="false">COUNTIFS(Intentions!$B$2:$B$344,$A52)</f>
        <v>0</v>
      </c>
      <c r="E52" s="11" t="n">
        <f aca="false">COUNTIFS(Intentions!$B$2:$B$344,$A52,Intentions!$H$2:$H$344,"&lt;&gt;Prévu")</f>
        <v>0</v>
      </c>
      <c r="F52" s="11" t="n">
        <f aca="false">COUNTIFS(Intentions!$B$2:$B$344,$A52,Intentions!$H$2:$H$344,"Réalisé")+COUNTIFS(Intentions!$B$2:$B$344,$A52,Intentions!$H$2:$H$344,"Partiel")</f>
        <v>0</v>
      </c>
      <c r="G52" s="12" t="str">
        <f aca="false">IF(E52=0,"",SUMIFS(Intentions!$K$2:$K$344,Intentions!$B$2:$B$344,$A52)/E52)</f>
        <v/>
      </c>
      <c r="H52" s="11" t="n">
        <f aca="false">SUMIFS(Intentions!$G$2:$G$344,Intentions!$B$2:$B$344,$A52)</f>
        <v>0</v>
      </c>
      <c r="I52" s="11" t="n">
        <f aca="false">SUMIFS(Activites!$F$2:$F$189,Activites!$B$2:$B$189,$A52)</f>
        <v>0</v>
      </c>
      <c r="J52" s="11" t="n">
        <f aca="false">SUMIFS(Activites!$F$2:$F$189,Activites!$B$2:$B$189,$A52,Activites!$C$2:$C$189,"Spirituel")</f>
        <v>0</v>
      </c>
      <c r="K52" s="11" t="n">
        <f aca="false">SUMIFS(Activites!$F$2:$F$189,Activites!$B$2:$B$189,$A52,Activites!$C$2:$C$189,"Physique")</f>
        <v>0</v>
      </c>
      <c r="L52" s="11" t="n">
        <f aca="false">SUMIFS(Activites!$F$2:$F$189,Activites!$B$2:$B$189,$A52,Activites!$C$2:$C$189,"Études")</f>
        <v>0</v>
      </c>
      <c r="M52" s="11" t="n">
        <f aca="false">SUMIFS(Activites!$F$2:$F$189,Activites!$B$2:$B$189,$A52,Activites!$C$2:$C$189,"Professionnel")</f>
        <v>0</v>
      </c>
      <c r="N52" s="11" t="n">
        <f aca="false">SUMIFS(Activites!$F$2:$F$189,Activites!$B$2:$B$189,$A52,Activites!$C$2:$C$189,"Personnel")</f>
        <v>0</v>
      </c>
      <c r="O52" s="11" t="n">
        <f aca="false">SUMIFS(Activites!$F$2:$F$189,Activites!$B$2:$B$189,$A52,Activites!$C$2:$C$189,"Relationnel")</f>
        <v>0</v>
      </c>
      <c r="P52" s="11" t="n">
        <f aca="false">SUMIFS(Activites!$F$2:$F$189,Activites!$B$2:$B$189,$A52,Activites!$C$2:$C$189,"Loisirs et créativité")</f>
        <v>0</v>
      </c>
      <c r="Q52" s="10"/>
      <c r="R52" s="11"/>
      <c r="S52" s="11"/>
      <c r="T52" s="11"/>
      <c r="U52" s="11"/>
      <c r="V52" s="11"/>
      <c r="W52" s="11"/>
      <c r="X52" s="16"/>
      <c r="Y52" s="10"/>
      <c r="Z52" s="11" t="n">
        <f aca="false">COUNTIFS(Reflexions!$A$2:$A$57,$A52)</f>
        <v>0</v>
      </c>
      <c r="AA52" s="17"/>
    </row>
    <row r="53" customFormat="false" ht="15" hidden="false" customHeight="false" outlineLevel="0" collapsed="false">
      <c r="A53" s="15" t="n">
        <v>46267</v>
      </c>
      <c r="B53" s="4" t="str">
        <f aca="false">INDEX({"Lundi","Mardi","Mercredi","Jeudi","Vendredi","Samedi","Dimanche"},WEEKDAY($A53,2))</f>
        <v>Mercredi</v>
      </c>
      <c r="C53" s="4" t="s">
        <v>71</v>
      </c>
      <c r="D53" s="11" t="n">
        <f aca="false">COUNTIFS(Intentions!$B$2:$B$344,$A53)</f>
        <v>7</v>
      </c>
      <c r="E53" s="11" t="n">
        <f aca="false">COUNTIFS(Intentions!$B$2:$B$344,$A53,Intentions!$H$2:$H$344,"&lt;&gt;Prévu")</f>
        <v>7</v>
      </c>
      <c r="F53" s="11" t="n">
        <f aca="false">COUNTIFS(Intentions!$B$2:$B$344,$A53,Intentions!$H$2:$H$344,"Réalisé")+COUNTIFS(Intentions!$B$2:$B$344,$A53,Intentions!$H$2:$H$344,"Partiel")</f>
        <v>1</v>
      </c>
      <c r="G53" s="12" t="n">
        <f aca="false">IF(E53=0,"",SUMIFS(Intentions!$K$2:$K$344,Intentions!$B$2:$B$344,$A53)/E53)</f>
        <v>0.0714285714285714</v>
      </c>
      <c r="H53" s="11" t="n">
        <f aca="false">SUMIFS(Intentions!$G$2:$G$344,Intentions!$B$2:$B$344,$A53)</f>
        <v>405</v>
      </c>
      <c r="I53" s="11" t="n">
        <f aca="false">SUMIFS(Activites!$F$2:$F$189,Activites!$B$2:$B$189,$A53)</f>
        <v>136</v>
      </c>
      <c r="J53" s="11" t="n">
        <f aca="false">SUMIFS(Activites!$F$2:$F$189,Activites!$B$2:$B$189,$A53,Activites!$C$2:$C$189,"Spirituel")</f>
        <v>0</v>
      </c>
      <c r="K53" s="11" t="n">
        <f aca="false">SUMIFS(Activites!$F$2:$F$189,Activites!$B$2:$B$189,$A53,Activites!$C$2:$C$189,"Physique")</f>
        <v>0</v>
      </c>
      <c r="L53" s="11" t="n">
        <f aca="false">SUMIFS(Activites!$F$2:$F$189,Activites!$B$2:$B$189,$A53,Activites!$C$2:$C$189,"Études")</f>
        <v>0</v>
      </c>
      <c r="M53" s="11" t="n">
        <f aca="false">SUMIFS(Activites!$F$2:$F$189,Activites!$B$2:$B$189,$A53,Activites!$C$2:$C$189,"Professionnel")</f>
        <v>0</v>
      </c>
      <c r="N53" s="11" t="n">
        <f aca="false">SUMIFS(Activites!$F$2:$F$189,Activites!$B$2:$B$189,$A53,Activites!$C$2:$C$189,"Personnel")</f>
        <v>0</v>
      </c>
      <c r="O53" s="11" t="n">
        <f aca="false">SUMIFS(Activites!$F$2:$F$189,Activites!$B$2:$B$189,$A53,Activites!$C$2:$C$189,"Relationnel")</f>
        <v>0</v>
      </c>
      <c r="P53" s="11" t="n">
        <f aca="false">SUMIFS(Activites!$F$2:$F$189,Activites!$B$2:$B$189,$A53,Activites!$C$2:$C$189,"Loisirs et créativité")</f>
        <v>136</v>
      </c>
      <c r="Q53" s="10" t="n">
        <v>8.7</v>
      </c>
      <c r="R53" s="11"/>
      <c r="S53" s="11" t="n">
        <v>4</v>
      </c>
      <c r="T53" s="11" t="n">
        <v>2</v>
      </c>
      <c r="U53" s="11" t="n">
        <v>4</v>
      </c>
      <c r="V53" s="11" t="n">
        <v>3</v>
      </c>
      <c r="W53" s="11" t="n">
        <v>279</v>
      </c>
      <c r="X53" s="16" t="n">
        <v>5245</v>
      </c>
      <c r="Y53" s="10" t="n">
        <v>2.4</v>
      </c>
      <c r="Z53" s="11" t="n">
        <f aca="false">COUNTIFS(Reflexions!$A$2:$A$57,$A53)</f>
        <v>0</v>
      </c>
      <c r="AA53" s="17"/>
    </row>
    <row r="54" customFormat="false" ht="15" hidden="false" customHeight="false" outlineLevel="0" collapsed="false">
      <c r="A54" s="15" t="n">
        <v>46268</v>
      </c>
      <c r="B54" s="4" t="str">
        <f aca="false">INDEX({"Lundi","Mardi","Mercredi","Jeudi","Vendredi","Samedi","Dimanche"},WEEKDAY($A54,2))</f>
        <v>Jeudi</v>
      </c>
      <c r="C54" s="4" t="s">
        <v>71</v>
      </c>
      <c r="D54" s="11" t="n">
        <f aca="false">COUNTIFS(Intentions!$B$2:$B$344,$A54)</f>
        <v>5</v>
      </c>
      <c r="E54" s="11" t="n">
        <f aca="false">COUNTIFS(Intentions!$B$2:$B$344,$A54,Intentions!$H$2:$H$344,"&lt;&gt;Prévu")</f>
        <v>5</v>
      </c>
      <c r="F54" s="11" t="n">
        <f aca="false">COUNTIFS(Intentions!$B$2:$B$344,$A54,Intentions!$H$2:$H$344,"Réalisé")+COUNTIFS(Intentions!$B$2:$B$344,$A54,Intentions!$H$2:$H$344,"Partiel")</f>
        <v>3</v>
      </c>
      <c r="G54" s="12" t="n">
        <f aca="false">IF(E54=0,"",SUMIFS(Intentions!$K$2:$K$344,Intentions!$B$2:$B$344,$A54)/E54)</f>
        <v>0.4</v>
      </c>
      <c r="H54" s="11" t="n">
        <f aca="false">SUMIFS(Intentions!$G$2:$G$344,Intentions!$B$2:$B$344,$A54)</f>
        <v>165</v>
      </c>
      <c r="I54" s="11" t="n">
        <f aca="false">SUMIFS(Activites!$F$2:$F$189,Activites!$B$2:$B$189,$A54)</f>
        <v>49</v>
      </c>
      <c r="J54" s="11" t="n">
        <f aca="false">SUMIFS(Activites!$F$2:$F$189,Activites!$B$2:$B$189,$A54,Activites!$C$2:$C$189,"Spirituel")</f>
        <v>12</v>
      </c>
      <c r="K54" s="11" t="n">
        <f aca="false">SUMIFS(Activites!$F$2:$F$189,Activites!$B$2:$B$189,$A54,Activites!$C$2:$C$189,"Physique")</f>
        <v>17</v>
      </c>
      <c r="L54" s="11" t="n">
        <f aca="false">SUMIFS(Activites!$F$2:$F$189,Activites!$B$2:$B$189,$A54,Activites!$C$2:$C$189,"Études")</f>
        <v>0</v>
      </c>
      <c r="M54" s="11" t="n">
        <f aca="false">SUMIFS(Activites!$F$2:$F$189,Activites!$B$2:$B$189,$A54,Activites!$C$2:$C$189,"Professionnel")</f>
        <v>0</v>
      </c>
      <c r="N54" s="11" t="n">
        <f aca="false">SUMIFS(Activites!$F$2:$F$189,Activites!$B$2:$B$189,$A54,Activites!$C$2:$C$189,"Personnel")</f>
        <v>0</v>
      </c>
      <c r="O54" s="11" t="n">
        <f aca="false">SUMIFS(Activites!$F$2:$F$189,Activites!$B$2:$B$189,$A54,Activites!$C$2:$C$189,"Relationnel")</f>
        <v>20</v>
      </c>
      <c r="P54" s="11" t="n">
        <f aca="false">SUMIFS(Activites!$F$2:$F$189,Activites!$B$2:$B$189,$A54,Activites!$C$2:$C$189,"Loisirs et créativité")</f>
        <v>0</v>
      </c>
      <c r="Q54" s="10" t="n">
        <v>7.1</v>
      </c>
      <c r="R54" s="11"/>
      <c r="S54" s="11" t="n">
        <v>4</v>
      </c>
      <c r="T54" s="11" t="n">
        <v>5</v>
      </c>
      <c r="U54" s="11" t="n">
        <v>2</v>
      </c>
      <c r="V54" s="11" t="n">
        <v>2</v>
      </c>
      <c r="W54" s="11" t="n">
        <v>190</v>
      </c>
      <c r="X54" s="16" t="n">
        <v>4623</v>
      </c>
      <c r="Y54" s="10" t="n">
        <v>1.8</v>
      </c>
      <c r="Z54" s="11" t="n">
        <f aca="false">COUNTIFS(Reflexions!$A$2:$A$57,$A54)</f>
        <v>1</v>
      </c>
      <c r="AA54" s="17"/>
    </row>
    <row r="55" customFormat="false" ht="15" hidden="false" customHeight="false" outlineLevel="0" collapsed="false">
      <c r="A55" s="15" t="n">
        <v>46269</v>
      </c>
      <c r="B55" s="4" t="str">
        <f aca="false">INDEX({"Lundi","Mardi","Mercredi","Jeudi","Vendredi","Samedi","Dimanche"},WEEKDAY($A55,2))</f>
        <v>Vendredi</v>
      </c>
      <c r="C55" s="4" t="s">
        <v>71</v>
      </c>
      <c r="D55" s="11" t="n">
        <f aca="false">COUNTIFS(Intentions!$B$2:$B$344,$A55)</f>
        <v>4</v>
      </c>
      <c r="E55" s="11" t="n">
        <f aca="false">COUNTIFS(Intentions!$B$2:$B$344,$A55,Intentions!$H$2:$H$344,"&lt;&gt;Prévu")</f>
        <v>4</v>
      </c>
      <c r="F55" s="11" t="n">
        <f aca="false">COUNTIFS(Intentions!$B$2:$B$344,$A55,Intentions!$H$2:$H$344,"Réalisé")+COUNTIFS(Intentions!$B$2:$B$344,$A55,Intentions!$H$2:$H$344,"Partiel")</f>
        <v>2</v>
      </c>
      <c r="G55" s="12" t="n">
        <f aca="false">IF(E55=0,"",SUMIFS(Intentions!$K$2:$K$344,Intentions!$B$2:$B$344,$A55)/E55)</f>
        <v>0.375</v>
      </c>
      <c r="H55" s="11" t="n">
        <f aca="false">SUMIFS(Intentions!$G$2:$G$344,Intentions!$B$2:$B$344,$A55)</f>
        <v>205</v>
      </c>
      <c r="I55" s="11" t="n">
        <f aca="false">SUMIFS(Activites!$F$2:$F$189,Activites!$B$2:$B$189,$A55)</f>
        <v>138</v>
      </c>
      <c r="J55" s="11" t="n">
        <f aca="false">SUMIFS(Activites!$F$2:$F$189,Activites!$B$2:$B$189,$A55,Activites!$C$2:$C$189,"Spirituel")</f>
        <v>0</v>
      </c>
      <c r="K55" s="11" t="n">
        <f aca="false">SUMIFS(Activites!$F$2:$F$189,Activites!$B$2:$B$189,$A55,Activites!$C$2:$C$189,"Physique")</f>
        <v>0</v>
      </c>
      <c r="L55" s="11" t="n">
        <f aca="false">SUMIFS(Activites!$F$2:$F$189,Activites!$B$2:$B$189,$A55,Activites!$C$2:$C$189,"Études")</f>
        <v>138</v>
      </c>
      <c r="M55" s="11" t="n">
        <f aca="false">SUMIFS(Activites!$F$2:$F$189,Activites!$B$2:$B$189,$A55,Activites!$C$2:$C$189,"Professionnel")</f>
        <v>0</v>
      </c>
      <c r="N55" s="11" t="n">
        <f aca="false">SUMIFS(Activites!$F$2:$F$189,Activites!$B$2:$B$189,$A55,Activites!$C$2:$C$189,"Personnel")</f>
        <v>0</v>
      </c>
      <c r="O55" s="11" t="n">
        <f aca="false">SUMIFS(Activites!$F$2:$F$189,Activites!$B$2:$B$189,$A55,Activites!$C$2:$C$189,"Relationnel")</f>
        <v>0</v>
      </c>
      <c r="P55" s="11" t="n">
        <f aca="false">SUMIFS(Activites!$F$2:$F$189,Activites!$B$2:$B$189,$A55,Activites!$C$2:$C$189,"Loisirs et créativité")</f>
        <v>0</v>
      </c>
      <c r="Q55" s="10" t="n">
        <v>8</v>
      </c>
      <c r="R55" s="11"/>
      <c r="S55" s="11" t="n">
        <v>4</v>
      </c>
      <c r="T55" s="11" t="n">
        <v>5</v>
      </c>
      <c r="U55" s="11" t="n">
        <v>4</v>
      </c>
      <c r="V55" s="11" t="n">
        <v>5</v>
      </c>
      <c r="W55" s="11" t="n">
        <v>256</v>
      </c>
      <c r="X55" s="16" t="n">
        <v>2220</v>
      </c>
      <c r="Y55" s="10" t="n">
        <v>2.3</v>
      </c>
      <c r="Z55" s="11" t="n">
        <f aca="false">COUNTIFS(Reflexions!$A$2:$A$57,$A55)</f>
        <v>1</v>
      </c>
      <c r="AA55" s="17"/>
    </row>
    <row r="56" customFormat="false" ht="15" hidden="false" customHeight="false" outlineLevel="0" collapsed="false">
      <c r="A56" s="15" t="n">
        <v>46270</v>
      </c>
      <c r="B56" s="4" t="str">
        <f aca="false">INDEX({"Lundi","Mardi","Mercredi","Jeudi","Vendredi","Samedi","Dimanche"},WEEKDAY($A56,2))</f>
        <v>Samedi</v>
      </c>
      <c r="C56" s="4" t="s">
        <v>71</v>
      </c>
      <c r="D56" s="11" t="n">
        <f aca="false">COUNTIFS(Intentions!$B$2:$B$344,$A56)</f>
        <v>5</v>
      </c>
      <c r="E56" s="11" t="n">
        <f aca="false">COUNTIFS(Intentions!$B$2:$B$344,$A56,Intentions!$H$2:$H$344,"&lt;&gt;Prévu")</f>
        <v>5</v>
      </c>
      <c r="F56" s="11" t="n">
        <f aca="false">COUNTIFS(Intentions!$B$2:$B$344,$A56,Intentions!$H$2:$H$344,"Réalisé")+COUNTIFS(Intentions!$B$2:$B$344,$A56,Intentions!$H$2:$H$344,"Partiel")</f>
        <v>2</v>
      </c>
      <c r="G56" s="12" t="n">
        <f aca="false">IF(E56=0,"",SUMIFS(Intentions!$K$2:$K$344,Intentions!$B$2:$B$344,$A56)/E56)</f>
        <v>0.4</v>
      </c>
      <c r="H56" s="11" t="n">
        <f aca="false">SUMIFS(Intentions!$G$2:$G$344,Intentions!$B$2:$B$344,$A56)</f>
        <v>160</v>
      </c>
      <c r="I56" s="11" t="n">
        <f aca="false">SUMIFS(Activites!$F$2:$F$189,Activites!$B$2:$B$189,$A56)</f>
        <v>130</v>
      </c>
      <c r="J56" s="11" t="n">
        <f aca="false">SUMIFS(Activites!$F$2:$F$189,Activites!$B$2:$B$189,$A56,Activites!$C$2:$C$189,"Spirituel")</f>
        <v>15</v>
      </c>
      <c r="K56" s="11" t="n">
        <f aca="false">SUMIFS(Activites!$F$2:$F$189,Activites!$B$2:$B$189,$A56,Activites!$C$2:$C$189,"Physique")</f>
        <v>0</v>
      </c>
      <c r="L56" s="11" t="n">
        <f aca="false">SUMIFS(Activites!$F$2:$F$189,Activites!$B$2:$B$189,$A56,Activites!$C$2:$C$189,"Études")</f>
        <v>0</v>
      </c>
      <c r="M56" s="11" t="n">
        <f aca="false">SUMIFS(Activites!$F$2:$F$189,Activites!$B$2:$B$189,$A56,Activites!$C$2:$C$189,"Professionnel")</f>
        <v>0</v>
      </c>
      <c r="N56" s="11" t="n">
        <f aca="false">SUMIFS(Activites!$F$2:$F$189,Activites!$B$2:$B$189,$A56,Activites!$C$2:$C$189,"Personnel")</f>
        <v>0</v>
      </c>
      <c r="O56" s="11" t="n">
        <f aca="false">SUMIFS(Activites!$F$2:$F$189,Activites!$B$2:$B$189,$A56,Activites!$C$2:$C$189,"Relationnel")</f>
        <v>25</v>
      </c>
      <c r="P56" s="11" t="n">
        <f aca="false">SUMIFS(Activites!$F$2:$F$189,Activites!$B$2:$B$189,$A56,Activites!$C$2:$C$189,"Loisirs et créativité")</f>
        <v>90</v>
      </c>
      <c r="Q56" s="10" t="n">
        <v>5.7</v>
      </c>
      <c r="R56" s="11"/>
      <c r="S56" s="11" t="n">
        <v>2</v>
      </c>
      <c r="T56" s="11" t="n">
        <v>2</v>
      </c>
      <c r="U56" s="11" t="n">
        <v>3</v>
      </c>
      <c r="V56" s="11" t="n">
        <v>2</v>
      </c>
      <c r="W56" s="11" t="n">
        <v>215</v>
      </c>
      <c r="X56" s="16" t="n">
        <v>4625</v>
      </c>
      <c r="Y56" s="10" t="n">
        <v>1.2</v>
      </c>
      <c r="Z56" s="11" t="n">
        <f aca="false">COUNTIFS(Reflexions!$A$2:$A$57,$A56)</f>
        <v>0</v>
      </c>
      <c r="AA56" s="17"/>
    </row>
    <row r="57" customFormat="false" ht="15" hidden="false" customHeight="false" outlineLevel="0" collapsed="false">
      <c r="A57" s="15" t="n">
        <v>46271</v>
      </c>
      <c r="B57" s="4" t="str">
        <f aca="false">INDEX({"Lundi","Mardi","Mercredi","Jeudi","Vendredi","Samedi","Dimanche"},WEEKDAY($A57,2))</f>
        <v>Dimanche</v>
      </c>
      <c r="C57" s="4" t="s">
        <v>71</v>
      </c>
      <c r="D57" s="11" t="n">
        <f aca="false">COUNTIFS(Intentions!$B$2:$B$344,$A57)</f>
        <v>3</v>
      </c>
      <c r="E57" s="11" t="n">
        <f aca="false">COUNTIFS(Intentions!$B$2:$B$344,$A57,Intentions!$H$2:$H$344,"&lt;&gt;Prévu")</f>
        <v>3</v>
      </c>
      <c r="F57" s="11" t="n">
        <f aca="false">COUNTIFS(Intentions!$B$2:$B$344,$A57,Intentions!$H$2:$H$344,"Réalisé")+COUNTIFS(Intentions!$B$2:$B$344,$A57,Intentions!$H$2:$H$344,"Partiel")</f>
        <v>2</v>
      </c>
      <c r="G57" s="12" t="n">
        <f aca="false">IF(E57=0,"",SUMIFS(Intentions!$K$2:$K$344,Intentions!$B$2:$B$344,$A57)/E57)</f>
        <v>0.666666666666667</v>
      </c>
      <c r="H57" s="11" t="n">
        <f aca="false">SUMIFS(Intentions!$G$2:$G$344,Intentions!$B$2:$B$344,$A57)</f>
        <v>140</v>
      </c>
      <c r="I57" s="11" t="n">
        <f aca="false">SUMIFS(Activites!$F$2:$F$189,Activites!$B$2:$B$189,$A57)</f>
        <v>187</v>
      </c>
      <c r="J57" s="11" t="n">
        <f aca="false">SUMIFS(Activites!$F$2:$F$189,Activites!$B$2:$B$189,$A57,Activites!$C$2:$C$189,"Spirituel")</f>
        <v>22</v>
      </c>
      <c r="K57" s="11" t="n">
        <f aca="false">SUMIFS(Activites!$F$2:$F$189,Activites!$B$2:$B$189,$A57,Activites!$C$2:$C$189,"Physique")</f>
        <v>0</v>
      </c>
      <c r="L57" s="11" t="n">
        <f aca="false">SUMIFS(Activites!$F$2:$F$189,Activites!$B$2:$B$189,$A57,Activites!$C$2:$C$189,"Études")</f>
        <v>75</v>
      </c>
      <c r="M57" s="11" t="n">
        <f aca="false">SUMIFS(Activites!$F$2:$F$189,Activites!$B$2:$B$189,$A57,Activites!$C$2:$C$189,"Professionnel")</f>
        <v>0</v>
      </c>
      <c r="N57" s="11" t="n">
        <f aca="false">SUMIFS(Activites!$F$2:$F$189,Activites!$B$2:$B$189,$A57,Activites!$C$2:$C$189,"Personnel")</f>
        <v>0</v>
      </c>
      <c r="O57" s="11" t="n">
        <f aca="false">SUMIFS(Activites!$F$2:$F$189,Activites!$B$2:$B$189,$A57,Activites!$C$2:$C$189,"Relationnel")</f>
        <v>0</v>
      </c>
      <c r="P57" s="11" t="n">
        <f aca="false">SUMIFS(Activites!$F$2:$F$189,Activites!$B$2:$B$189,$A57,Activites!$C$2:$C$189,"Loisirs et créativité")</f>
        <v>90</v>
      </c>
      <c r="Q57" s="10" t="n">
        <v>7.7</v>
      </c>
      <c r="R57" s="11"/>
      <c r="S57" s="11" t="n">
        <v>4</v>
      </c>
      <c r="T57" s="11" t="n">
        <v>3</v>
      </c>
      <c r="U57" s="11" t="n">
        <v>3</v>
      </c>
      <c r="V57" s="11" t="n">
        <v>3</v>
      </c>
      <c r="W57" s="11" t="n">
        <v>146</v>
      </c>
      <c r="X57" s="16" t="n">
        <v>5789</v>
      </c>
      <c r="Y57" s="10" t="n">
        <v>1.9</v>
      </c>
      <c r="Z57" s="11" t="n">
        <f aca="false">COUNTIFS(Reflexions!$A$2:$A$57,$A57)</f>
        <v>1</v>
      </c>
      <c r="AA57" s="17"/>
    </row>
    <row r="58" customFormat="false" ht="15" hidden="false" customHeight="false" outlineLevel="0" collapsed="false">
      <c r="A58" s="15" t="n">
        <v>46272</v>
      </c>
      <c r="B58" s="4" t="str">
        <f aca="false">INDEX({"Lundi","Mardi","Mercredi","Jeudi","Vendredi","Samedi","Dimanche"},WEEKDAY($A58,2))</f>
        <v>Lundi</v>
      </c>
      <c r="C58" s="4" t="s">
        <v>71</v>
      </c>
      <c r="D58" s="11" t="n">
        <f aca="false">COUNTIFS(Intentions!$B$2:$B$344,$A58)</f>
        <v>3</v>
      </c>
      <c r="E58" s="11" t="n">
        <f aca="false">COUNTIFS(Intentions!$B$2:$B$344,$A58,Intentions!$H$2:$H$344,"&lt;&gt;Prévu")</f>
        <v>3</v>
      </c>
      <c r="F58" s="11" t="n">
        <f aca="false">COUNTIFS(Intentions!$B$2:$B$344,$A58,Intentions!$H$2:$H$344,"Réalisé")+COUNTIFS(Intentions!$B$2:$B$344,$A58,Intentions!$H$2:$H$344,"Partiel")</f>
        <v>0</v>
      </c>
      <c r="G58" s="12" t="n">
        <f aca="false">IF(E58=0,"",SUMIFS(Intentions!$K$2:$K$344,Intentions!$B$2:$B$344,$A58)/E58)</f>
        <v>0</v>
      </c>
      <c r="H58" s="11" t="n">
        <f aca="false">SUMIFS(Intentions!$G$2:$G$344,Intentions!$B$2:$B$344,$A58)</f>
        <v>140</v>
      </c>
      <c r="I58" s="11" t="n">
        <f aca="false">SUMIFS(Activites!$F$2:$F$189,Activites!$B$2:$B$189,$A58)</f>
        <v>90</v>
      </c>
      <c r="J58" s="11" t="n">
        <f aca="false">SUMIFS(Activites!$F$2:$F$189,Activites!$B$2:$B$189,$A58,Activites!$C$2:$C$189,"Spirituel")</f>
        <v>0</v>
      </c>
      <c r="K58" s="11" t="n">
        <f aca="false">SUMIFS(Activites!$F$2:$F$189,Activites!$B$2:$B$189,$A58,Activites!$C$2:$C$189,"Physique")</f>
        <v>0</v>
      </c>
      <c r="L58" s="11" t="n">
        <f aca="false">SUMIFS(Activites!$F$2:$F$189,Activites!$B$2:$B$189,$A58,Activites!$C$2:$C$189,"Études")</f>
        <v>0</v>
      </c>
      <c r="M58" s="11" t="n">
        <f aca="false">SUMIFS(Activites!$F$2:$F$189,Activites!$B$2:$B$189,$A58,Activites!$C$2:$C$189,"Professionnel")</f>
        <v>0</v>
      </c>
      <c r="N58" s="11" t="n">
        <f aca="false">SUMIFS(Activites!$F$2:$F$189,Activites!$B$2:$B$189,$A58,Activites!$C$2:$C$189,"Personnel")</f>
        <v>0</v>
      </c>
      <c r="O58" s="11" t="n">
        <f aca="false">SUMIFS(Activites!$F$2:$F$189,Activites!$B$2:$B$189,$A58,Activites!$C$2:$C$189,"Relationnel")</f>
        <v>0</v>
      </c>
      <c r="P58" s="11" t="n">
        <f aca="false">SUMIFS(Activites!$F$2:$F$189,Activites!$B$2:$B$189,$A58,Activites!$C$2:$C$189,"Loisirs et créativité")</f>
        <v>90</v>
      </c>
      <c r="Q58" s="10" t="n">
        <v>6.8</v>
      </c>
      <c r="R58" s="11"/>
      <c r="S58" s="11" t="n">
        <v>2</v>
      </c>
      <c r="T58" s="11" t="n">
        <v>1</v>
      </c>
      <c r="U58" s="11" t="n">
        <v>3</v>
      </c>
      <c r="V58" s="11" t="n">
        <v>4</v>
      </c>
      <c r="W58" s="11" t="n">
        <v>334</v>
      </c>
      <c r="X58" s="16" t="n">
        <v>8984</v>
      </c>
      <c r="Y58" s="10" t="n">
        <v>1.9</v>
      </c>
      <c r="Z58" s="11" t="n">
        <f aca="false">COUNTIFS(Reflexions!$A$2:$A$57,$A58)</f>
        <v>1</v>
      </c>
      <c r="AA58" s="17"/>
    </row>
    <row r="59" customFormat="false" ht="15" hidden="false" customHeight="false" outlineLevel="0" collapsed="false">
      <c r="A59" s="15" t="n">
        <v>46273</v>
      </c>
      <c r="B59" s="4" t="str">
        <f aca="false">INDEX({"Lundi","Mardi","Mercredi","Jeudi","Vendredi","Samedi","Dimanche"},WEEKDAY($A59,2))</f>
        <v>Mardi</v>
      </c>
      <c r="C59" s="4" t="s">
        <v>71</v>
      </c>
      <c r="D59" s="11" t="n">
        <f aca="false">COUNTIFS(Intentions!$B$2:$B$344,$A59)</f>
        <v>3</v>
      </c>
      <c r="E59" s="11" t="n">
        <f aca="false">COUNTIFS(Intentions!$B$2:$B$344,$A59,Intentions!$H$2:$H$344,"&lt;&gt;Prévu")</f>
        <v>3</v>
      </c>
      <c r="F59" s="11" t="n">
        <f aca="false">COUNTIFS(Intentions!$B$2:$B$344,$A59,Intentions!$H$2:$H$344,"Réalisé")+COUNTIFS(Intentions!$B$2:$B$344,$A59,Intentions!$H$2:$H$344,"Partiel")</f>
        <v>0</v>
      </c>
      <c r="G59" s="12" t="n">
        <f aca="false">IF(E59=0,"",SUMIFS(Intentions!$K$2:$K$344,Intentions!$B$2:$B$344,$A59)/E59)</f>
        <v>0</v>
      </c>
      <c r="H59" s="11" t="n">
        <f aca="false">SUMIFS(Intentions!$G$2:$G$344,Intentions!$B$2:$B$344,$A59)</f>
        <v>150</v>
      </c>
      <c r="I59" s="11" t="n">
        <f aca="false">SUMIFS(Activites!$F$2:$F$189,Activites!$B$2:$B$189,$A59)</f>
        <v>0</v>
      </c>
      <c r="J59" s="11" t="n">
        <f aca="false">SUMIFS(Activites!$F$2:$F$189,Activites!$B$2:$B$189,$A59,Activites!$C$2:$C$189,"Spirituel")</f>
        <v>0</v>
      </c>
      <c r="K59" s="11" t="n">
        <f aca="false">SUMIFS(Activites!$F$2:$F$189,Activites!$B$2:$B$189,$A59,Activites!$C$2:$C$189,"Physique")</f>
        <v>0</v>
      </c>
      <c r="L59" s="11" t="n">
        <f aca="false">SUMIFS(Activites!$F$2:$F$189,Activites!$B$2:$B$189,$A59,Activites!$C$2:$C$189,"Études")</f>
        <v>0</v>
      </c>
      <c r="M59" s="11" t="n">
        <f aca="false">SUMIFS(Activites!$F$2:$F$189,Activites!$B$2:$B$189,$A59,Activites!$C$2:$C$189,"Professionnel")</f>
        <v>0</v>
      </c>
      <c r="N59" s="11" t="n">
        <f aca="false">SUMIFS(Activites!$F$2:$F$189,Activites!$B$2:$B$189,$A59,Activites!$C$2:$C$189,"Personnel")</f>
        <v>0</v>
      </c>
      <c r="O59" s="11" t="n">
        <f aca="false">SUMIFS(Activites!$F$2:$F$189,Activites!$B$2:$B$189,$A59,Activites!$C$2:$C$189,"Relationnel")</f>
        <v>0</v>
      </c>
      <c r="P59" s="11" t="n">
        <f aca="false">SUMIFS(Activites!$F$2:$F$189,Activites!$B$2:$B$189,$A59,Activites!$C$2:$C$189,"Loisirs et créativité")</f>
        <v>0</v>
      </c>
      <c r="Q59" s="10" t="n">
        <v>5.5</v>
      </c>
      <c r="R59" s="11"/>
      <c r="S59" s="11" t="n">
        <v>2</v>
      </c>
      <c r="T59" s="11" t="n">
        <v>2</v>
      </c>
      <c r="U59" s="11" t="n">
        <v>2</v>
      </c>
      <c r="V59" s="11" t="n">
        <v>1</v>
      </c>
      <c r="W59" s="11" t="n">
        <v>167</v>
      </c>
      <c r="X59" s="16" t="n">
        <v>3036</v>
      </c>
      <c r="Y59" s="10" t="n">
        <v>1.6</v>
      </c>
      <c r="Z59" s="11" t="n">
        <f aca="false">COUNTIFS(Reflexions!$A$2:$A$57,$A59)</f>
        <v>0</v>
      </c>
      <c r="AA59" s="17"/>
    </row>
    <row r="60" customFormat="false" ht="15" hidden="false" customHeight="false" outlineLevel="0" collapsed="false">
      <c r="A60" s="15" t="n">
        <v>46274</v>
      </c>
      <c r="B60" s="4" t="str">
        <f aca="false">INDEX({"Lundi","Mardi","Mercredi","Jeudi","Vendredi","Samedi","Dimanche"},WEEKDAY($A60,2))</f>
        <v>Mercredi</v>
      </c>
      <c r="C60" s="4" t="s">
        <v>72</v>
      </c>
      <c r="D60" s="11" t="n">
        <f aca="false">COUNTIFS(Intentions!$B$2:$B$344,$A60)</f>
        <v>0</v>
      </c>
      <c r="E60" s="11" t="n">
        <f aca="false">COUNTIFS(Intentions!$B$2:$B$344,$A60,Intentions!$H$2:$H$344,"&lt;&gt;Prévu")</f>
        <v>0</v>
      </c>
      <c r="F60" s="11" t="n">
        <f aca="false">COUNTIFS(Intentions!$B$2:$B$344,$A60,Intentions!$H$2:$H$344,"Réalisé")+COUNTIFS(Intentions!$B$2:$B$344,$A60,Intentions!$H$2:$H$344,"Partiel")</f>
        <v>0</v>
      </c>
      <c r="G60" s="12" t="str">
        <f aca="false">IF(E60=0,"",SUMIFS(Intentions!$K$2:$K$344,Intentions!$B$2:$B$344,$A60)/E60)</f>
        <v/>
      </c>
      <c r="H60" s="11" t="n">
        <f aca="false">SUMIFS(Intentions!$G$2:$G$344,Intentions!$B$2:$B$344,$A60)</f>
        <v>0</v>
      </c>
      <c r="I60" s="11" t="n">
        <f aca="false">SUMIFS(Activites!$F$2:$F$189,Activites!$B$2:$B$189,$A60)</f>
        <v>0</v>
      </c>
      <c r="J60" s="11" t="n">
        <f aca="false">SUMIFS(Activites!$F$2:$F$189,Activites!$B$2:$B$189,$A60,Activites!$C$2:$C$189,"Spirituel")</f>
        <v>0</v>
      </c>
      <c r="K60" s="11" t="n">
        <f aca="false">SUMIFS(Activites!$F$2:$F$189,Activites!$B$2:$B$189,$A60,Activites!$C$2:$C$189,"Physique")</f>
        <v>0</v>
      </c>
      <c r="L60" s="11" t="n">
        <f aca="false">SUMIFS(Activites!$F$2:$F$189,Activites!$B$2:$B$189,$A60,Activites!$C$2:$C$189,"Études")</f>
        <v>0</v>
      </c>
      <c r="M60" s="11" t="n">
        <f aca="false">SUMIFS(Activites!$F$2:$F$189,Activites!$B$2:$B$189,$A60,Activites!$C$2:$C$189,"Professionnel")</f>
        <v>0</v>
      </c>
      <c r="N60" s="11" t="n">
        <f aca="false">SUMIFS(Activites!$F$2:$F$189,Activites!$B$2:$B$189,$A60,Activites!$C$2:$C$189,"Personnel")</f>
        <v>0</v>
      </c>
      <c r="O60" s="11" t="n">
        <f aca="false">SUMIFS(Activites!$F$2:$F$189,Activites!$B$2:$B$189,$A60,Activites!$C$2:$C$189,"Relationnel")</f>
        <v>0</v>
      </c>
      <c r="P60" s="11" t="n">
        <f aca="false">SUMIFS(Activites!$F$2:$F$189,Activites!$B$2:$B$189,$A60,Activites!$C$2:$C$189,"Loisirs et créativité")</f>
        <v>0</v>
      </c>
      <c r="Q60" s="10"/>
      <c r="R60" s="11"/>
      <c r="S60" s="11"/>
      <c r="T60" s="11"/>
      <c r="U60" s="11"/>
      <c r="V60" s="11"/>
      <c r="W60" s="11"/>
      <c r="X60" s="16"/>
      <c r="Y60" s="10"/>
      <c r="Z60" s="11" t="n">
        <f aca="false">COUNTIFS(Reflexions!$A$2:$A$57,$A60)</f>
        <v>0</v>
      </c>
      <c r="AA60" s="17"/>
    </row>
    <row r="61" customFormat="false" ht="15" hidden="false" customHeight="false" outlineLevel="0" collapsed="false">
      <c r="A61" s="15" t="n">
        <v>46275</v>
      </c>
      <c r="B61" s="4" t="str">
        <f aca="false">INDEX({"Lundi","Mardi","Mercredi","Jeudi","Vendredi","Samedi","Dimanche"},WEEKDAY($A61,2))</f>
        <v>Jeudi</v>
      </c>
      <c r="C61" s="4" t="s">
        <v>72</v>
      </c>
      <c r="D61" s="11" t="n">
        <f aca="false">COUNTIFS(Intentions!$B$2:$B$344,$A61)</f>
        <v>0</v>
      </c>
      <c r="E61" s="11" t="n">
        <f aca="false">COUNTIFS(Intentions!$B$2:$B$344,$A61,Intentions!$H$2:$H$344,"&lt;&gt;Prévu")</f>
        <v>0</v>
      </c>
      <c r="F61" s="11" t="n">
        <f aca="false">COUNTIFS(Intentions!$B$2:$B$344,$A61,Intentions!$H$2:$H$344,"Réalisé")+COUNTIFS(Intentions!$B$2:$B$344,$A61,Intentions!$H$2:$H$344,"Partiel")</f>
        <v>0</v>
      </c>
      <c r="G61" s="12" t="str">
        <f aca="false">IF(E61=0,"",SUMIFS(Intentions!$K$2:$K$344,Intentions!$B$2:$B$344,$A61)/E61)</f>
        <v/>
      </c>
      <c r="H61" s="11" t="n">
        <f aca="false">SUMIFS(Intentions!$G$2:$G$344,Intentions!$B$2:$B$344,$A61)</f>
        <v>0</v>
      </c>
      <c r="I61" s="11" t="n">
        <f aca="false">SUMIFS(Activites!$F$2:$F$189,Activites!$B$2:$B$189,$A61)</f>
        <v>0</v>
      </c>
      <c r="J61" s="11" t="n">
        <f aca="false">SUMIFS(Activites!$F$2:$F$189,Activites!$B$2:$B$189,$A61,Activites!$C$2:$C$189,"Spirituel")</f>
        <v>0</v>
      </c>
      <c r="K61" s="11" t="n">
        <f aca="false">SUMIFS(Activites!$F$2:$F$189,Activites!$B$2:$B$189,$A61,Activites!$C$2:$C$189,"Physique")</f>
        <v>0</v>
      </c>
      <c r="L61" s="11" t="n">
        <f aca="false">SUMIFS(Activites!$F$2:$F$189,Activites!$B$2:$B$189,$A61,Activites!$C$2:$C$189,"Études")</f>
        <v>0</v>
      </c>
      <c r="M61" s="11" t="n">
        <f aca="false">SUMIFS(Activites!$F$2:$F$189,Activites!$B$2:$B$189,$A61,Activites!$C$2:$C$189,"Professionnel")</f>
        <v>0</v>
      </c>
      <c r="N61" s="11" t="n">
        <f aca="false">SUMIFS(Activites!$F$2:$F$189,Activites!$B$2:$B$189,$A61,Activites!$C$2:$C$189,"Personnel")</f>
        <v>0</v>
      </c>
      <c r="O61" s="11" t="n">
        <f aca="false">SUMIFS(Activites!$F$2:$F$189,Activites!$B$2:$B$189,$A61,Activites!$C$2:$C$189,"Relationnel")</f>
        <v>0</v>
      </c>
      <c r="P61" s="11" t="n">
        <f aca="false">SUMIFS(Activites!$F$2:$F$189,Activites!$B$2:$B$189,$A61,Activites!$C$2:$C$189,"Loisirs et créativité")</f>
        <v>0</v>
      </c>
      <c r="Q61" s="10"/>
      <c r="R61" s="11"/>
      <c r="S61" s="11"/>
      <c r="T61" s="11"/>
      <c r="U61" s="11"/>
      <c r="V61" s="11"/>
      <c r="W61" s="11"/>
      <c r="X61" s="16"/>
      <c r="Y61" s="10"/>
      <c r="Z61" s="11" t="n">
        <f aca="false">COUNTIFS(Reflexions!$A$2:$A$57,$A61)</f>
        <v>0</v>
      </c>
      <c r="AA61" s="17"/>
    </row>
    <row r="62" customFormat="false" ht="15" hidden="false" customHeight="false" outlineLevel="0" collapsed="false">
      <c r="A62" s="15" t="n">
        <v>46276</v>
      </c>
      <c r="B62" s="4" t="str">
        <f aca="false">INDEX({"Lundi","Mardi","Mercredi","Jeudi","Vendredi","Samedi","Dimanche"},WEEKDAY($A62,2))</f>
        <v>Vendredi</v>
      </c>
      <c r="C62" s="4" t="s">
        <v>71</v>
      </c>
      <c r="D62" s="11" t="n">
        <f aca="false">COUNTIFS(Intentions!$B$2:$B$344,$A62)</f>
        <v>4</v>
      </c>
      <c r="E62" s="11" t="n">
        <f aca="false">COUNTIFS(Intentions!$B$2:$B$344,$A62,Intentions!$H$2:$H$344,"&lt;&gt;Prévu")</f>
        <v>4</v>
      </c>
      <c r="F62" s="11" t="n">
        <f aca="false">COUNTIFS(Intentions!$B$2:$B$344,$A62,Intentions!$H$2:$H$344,"Réalisé")+COUNTIFS(Intentions!$B$2:$B$344,$A62,Intentions!$H$2:$H$344,"Partiel")</f>
        <v>3</v>
      </c>
      <c r="G62" s="12" t="n">
        <f aca="false">IF(E62=0,"",SUMIFS(Intentions!$K$2:$K$344,Intentions!$B$2:$B$344,$A62)/E62)</f>
        <v>0.75</v>
      </c>
      <c r="H62" s="11" t="n">
        <f aca="false">SUMIFS(Intentions!$G$2:$G$344,Intentions!$B$2:$B$344,$A62)</f>
        <v>165</v>
      </c>
      <c r="I62" s="11" t="n">
        <f aca="false">SUMIFS(Activites!$F$2:$F$189,Activites!$B$2:$B$189,$A62)</f>
        <v>207</v>
      </c>
      <c r="J62" s="11" t="n">
        <f aca="false">SUMIFS(Activites!$F$2:$F$189,Activites!$B$2:$B$189,$A62,Activites!$C$2:$C$189,"Spirituel")</f>
        <v>0</v>
      </c>
      <c r="K62" s="11" t="n">
        <f aca="false">SUMIFS(Activites!$F$2:$F$189,Activites!$B$2:$B$189,$A62,Activites!$C$2:$C$189,"Physique")</f>
        <v>0</v>
      </c>
      <c r="L62" s="11" t="n">
        <f aca="false">SUMIFS(Activites!$F$2:$F$189,Activites!$B$2:$B$189,$A62,Activites!$C$2:$C$189,"Études")</f>
        <v>0</v>
      </c>
      <c r="M62" s="11" t="n">
        <f aca="false">SUMIFS(Activites!$F$2:$F$189,Activites!$B$2:$B$189,$A62,Activites!$C$2:$C$189,"Professionnel")</f>
        <v>177</v>
      </c>
      <c r="N62" s="11" t="n">
        <f aca="false">SUMIFS(Activites!$F$2:$F$189,Activites!$B$2:$B$189,$A62,Activites!$C$2:$C$189,"Personnel")</f>
        <v>30</v>
      </c>
      <c r="O62" s="11" t="n">
        <f aca="false">SUMIFS(Activites!$F$2:$F$189,Activites!$B$2:$B$189,$A62,Activites!$C$2:$C$189,"Relationnel")</f>
        <v>0</v>
      </c>
      <c r="P62" s="11" t="n">
        <f aca="false">SUMIFS(Activites!$F$2:$F$189,Activites!$B$2:$B$189,$A62,Activites!$C$2:$C$189,"Loisirs et créativité")</f>
        <v>0</v>
      </c>
      <c r="Q62" s="10" t="n">
        <v>7.5</v>
      </c>
      <c r="R62" s="11"/>
      <c r="S62" s="11" t="n">
        <v>3</v>
      </c>
      <c r="T62" s="11" t="n">
        <v>3</v>
      </c>
      <c r="U62" s="11" t="n">
        <v>5</v>
      </c>
      <c r="V62" s="11" t="n">
        <v>3</v>
      </c>
      <c r="W62" s="11" t="n">
        <v>251</v>
      </c>
      <c r="X62" s="16" t="n">
        <v>6329</v>
      </c>
      <c r="Y62" s="10" t="n">
        <v>1.5</v>
      </c>
      <c r="Z62" s="11" t="n">
        <f aca="false">COUNTIFS(Reflexions!$A$2:$A$57,$A62)</f>
        <v>0</v>
      </c>
      <c r="AA62" s="17"/>
    </row>
    <row r="63" customFormat="false" ht="15" hidden="false" customHeight="false" outlineLevel="0" collapsed="false">
      <c r="A63" s="15" t="n">
        <v>46277</v>
      </c>
      <c r="B63" s="4" t="str">
        <f aca="false">INDEX({"Lundi","Mardi","Mercredi","Jeudi","Vendredi","Samedi","Dimanche"},WEEKDAY($A63,2))</f>
        <v>Samedi</v>
      </c>
      <c r="C63" s="4" t="s">
        <v>72</v>
      </c>
      <c r="D63" s="11" t="n">
        <f aca="false">COUNTIFS(Intentions!$B$2:$B$344,$A63)</f>
        <v>0</v>
      </c>
      <c r="E63" s="11" t="n">
        <f aca="false">COUNTIFS(Intentions!$B$2:$B$344,$A63,Intentions!$H$2:$H$344,"&lt;&gt;Prévu")</f>
        <v>0</v>
      </c>
      <c r="F63" s="11" t="n">
        <f aca="false">COUNTIFS(Intentions!$B$2:$B$344,$A63,Intentions!$H$2:$H$344,"Réalisé")+COUNTIFS(Intentions!$B$2:$B$344,$A63,Intentions!$H$2:$H$344,"Partiel")</f>
        <v>0</v>
      </c>
      <c r="G63" s="12" t="str">
        <f aca="false">IF(E63=0,"",SUMIFS(Intentions!$K$2:$K$344,Intentions!$B$2:$B$344,$A63)/E63)</f>
        <v/>
      </c>
      <c r="H63" s="11" t="n">
        <f aca="false">SUMIFS(Intentions!$G$2:$G$344,Intentions!$B$2:$B$344,$A63)</f>
        <v>0</v>
      </c>
      <c r="I63" s="11" t="n">
        <f aca="false">SUMIFS(Activites!$F$2:$F$189,Activites!$B$2:$B$189,$A63)</f>
        <v>0</v>
      </c>
      <c r="J63" s="11" t="n">
        <f aca="false">SUMIFS(Activites!$F$2:$F$189,Activites!$B$2:$B$189,$A63,Activites!$C$2:$C$189,"Spirituel")</f>
        <v>0</v>
      </c>
      <c r="K63" s="11" t="n">
        <f aca="false">SUMIFS(Activites!$F$2:$F$189,Activites!$B$2:$B$189,$A63,Activites!$C$2:$C$189,"Physique")</f>
        <v>0</v>
      </c>
      <c r="L63" s="11" t="n">
        <f aca="false">SUMIFS(Activites!$F$2:$F$189,Activites!$B$2:$B$189,$A63,Activites!$C$2:$C$189,"Études")</f>
        <v>0</v>
      </c>
      <c r="M63" s="11" t="n">
        <f aca="false">SUMIFS(Activites!$F$2:$F$189,Activites!$B$2:$B$189,$A63,Activites!$C$2:$C$189,"Professionnel")</f>
        <v>0</v>
      </c>
      <c r="N63" s="11" t="n">
        <f aca="false">SUMIFS(Activites!$F$2:$F$189,Activites!$B$2:$B$189,$A63,Activites!$C$2:$C$189,"Personnel")</f>
        <v>0</v>
      </c>
      <c r="O63" s="11" t="n">
        <f aca="false">SUMIFS(Activites!$F$2:$F$189,Activites!$B$2:$B$189,$A63,Activites!$C$2:$C$189,"Relationnel")</f>
        <v>0</v>
      </c>
      <c r="P63" s="11" t="n">
        <f aca="false">SUMIFS(Activites!$F$2:$F$189,Activites!$B$2:$B$189,$A63,Activites!$C$2:$C$189,"Loisirs et créativité")</f>
        <v>0</v>
      </c>
      <c r="Q63" s="10"/>
      <c r="R63" s="11"/>
      <c r="S63" s="11"/>
      <c r="T63" s="11"/>
      <c r="U63" s="11"/>
      <c r="V63" s="11"/>
      <c r="W63" s="11"/>
      <c r="X63" s="16"/>
      <c r="Y63" s="10"/>
      <c r="Z63" s="11" t="n">
        <f aca="false">COUNTIFS(Reflexions!$A$2:$A$57,$A63)</f>
        <v>0</v>
      </c>
      <c r="AA63" s="17"/>
    </row>
    <row r="64" customFormat="false" ht="15" hidden="false" customHeight="false" outlineLevel="0" collapsed="false">
      <c r="A64" s="15" t="n">
        <v>46278</v>
      </c>
      <c r="B64" s="4" t="str">
        <f aca="false">INDEX({"Lundi","Mardi","Mercredi","Jeudi","Vendredi","Samedi","Dimanche"},WEEKDAY($A64,2))</f>
        <v>Dimanche</v>
      </c>
      <c r="C64" s="4" t="s">
        <v>72</v>
      </c>
      <c r="D64" s="11" t="n">
        <f aca="false">COUNTIFS(Intentions!$B$2:$B$344,$A64)</f>
        <v>0</v>
      </c>
      <c r="E64" s="11" t="n">
        <f aca="false">COUNTIFS(Intentions!$B$2:$B$344,$A64,Intentions!$H$2:$H$344,"&lt;&gt;Prévu")</f>
        <v>0</v>
      </c>
      <c r="F64" s="11" t="n">
        <f aca="false">COUNTIFS(Intentions!$B$2:$B$344,$A64,Intentions!$H$2:$H$344,"Réalisé")+COUNTIFS(Intentions!$B$2:$B$344,$A64,Intentions!$H$2:$H$344,"Partiel")</f>
        <v>0</v>
      </c>
      <c r="G64" s="12" t="str">
        <f aca="false">IF(E64=0,"",SUMIFS(Intentions!$K$2:$K$344,Intentions!$B$2:$B$344,$A64)/E64)</f>
        <v/>
      </c>
      <c r="H64" s="11" t="n">
        <f aca="false">SUMIFS(Intentions!$G$2:$G$344,Intentions!$B$2:$B$344,$A64)</f>
        <v>0</v>
      </c>
      <c r="I64" s="11" t="n">
        <f aca="false">SUMIFS(Activites!$F$2:$F$189,Activites!$B$2:$B$189,$A64)</f>
        <v>0</v>
      </c>
      <c r="J64" s="11" t="n">
        <f aca="false">SUMIFS(Activites!$F$2:$F$189,Activites!$B$2:$B$189,$A64,Activites!$C$2:$C$189,"Spirituel")</f>
        <v>0</v>
      </c>
      <c r="K64" s="11" t="n">
        <f aca="false">SUMIFS(Activites!$F$2:$F$189,Activites!$B$2:$B$189,$A64,Activites!$C$2:$C$189,"Physique")</f>
        <v>0</v>
      </c>
      <c r="L64" s="11" t="n">
        <f aca="false">SUMIFS(Activites!$F$2:$F$189,Activites!$B$2:$B$189,$A64,Activites!$C$2:$C$189,"Études")</f>
        <v>0</v>
      </c>
      <c r="M64" s="11" t="n">
        <f aca="false">SUMIFS(Activites!$F$2:$F$189,Activites!$B$2:$B$189,$A64,Activites!$C$2:$C$189,"Professionnel")</f>
        <v>0</v>
      </c>
      <c r="N64" s="11" t="n">
        <f aca="false">SUMIFS(Activites!$F$2:$F$189,Activites!$B$2:$B$189,$A64,Activites!$C$2:$C$189,"Personnel")</f>
        <v>0</v>
      </c>
      <c r="O64" s="11" t="n">
        <f aca="false">SUMIFS(Activites!$F$2:$F$189,Activites!$B$2:$B$189,$A64,Activites!$C$2:$C$189,"Relationnel")</f>
        <v>0</v>
      </c>
      <c r="P64" s="11" t="n">
        <f aca="false">SUMIFS(Activites!$F$2:$F$189,Activites!$B$2:$B$189,$A64,Activites!$C$2:$C$189,"Loisirs et créativité")</f>
        <v>0</v>
      </c>
      <c r="Q64" s="10"/>
      <c r="R64" s="11"/>
      <c r="S64" s="11"/>
      <c r="T64" s="11"/>
      <c r="U64" s="11"/>
      <c r="V64" s="11"/>
      <c r="W64" s="11"/>
      <c r="X64" s="16"/>
      <c r="Y64" s="10"/>
      <c r="Z64" s="11" t="n">
        <f aca="false">COUNTIFS(Reflexions!$A$2:$A$57,$A64)</f>
        <v>0</v>
      </c>
      <c r="AA64" s="17"/>
    </row>
    <row r="65" customFormat="false" ht="15" hidden="false" customHeight="false" outlineLevel="0" collapsed="false">
      <c r="A65" s="15" t="n">
        <v>46279</v>
      </c>
      <c r="B65" s="4" t="str">
        <f aca="false">INDEX({"Lundi","Mardi","Mercredi","Jeudi","Vendredi","Samedi","Dimanche"},WEEKDAY($A65,2))</f>
        <v>Lundi</v>
      </c>
      <c r="C65" s="4" t="s">
        <v>71</v>
      </c>
      <c r="D65" s="11" t="n">
        <f aca="false">COUNTIFS(Intentions!$B$2:$B$344,$A65)</f>
        <v>2</v>
      </c>
      <c r="E65" s="11" t="n">
        <f aca="false">COUNTIFS(Intentions!$B$2:$B$344,$A65,Intentions!$H$2:$H$344,"&lt;&gt;Prévu")</f>
        <v>2</v>
      </c>
      <c r="F65" s="11" t="n">
        <f aca="false">COUNTIFS(Intentions!$B$2:$B$344,$A65,Intentions!$H$2:$H$344,"Réalisé")+COUNTIFS(Intentions!$B$2:$B$344,$A65,Intentions!$H$2:$H$344,"Partiel")</f>
        <v>2</v>
      </c>
      <c r="G65" s="12" t="n">
        <f aca="false">IF(E65=0,"",SUMIFS(Intentions!$K$2:$K$344,Intentions!$B$2:$B$344,$A65)/E65)</f>
        <v>1</v>
      </c>
      <c r="H65" s="11" t="n">
        <f aca="false">SUMIFS(Intentions!$G$2:$G$344,Intentions!$B$2:$B$344,$A65)</f>
        <v>80</v>
      </c>
      <c r="I65" s="11" t="n">
        <f aca="false">SUMIFS(Activites!$F$2:$F$189,Activites!$B$2:$B$189,$A65)</f>
        <v>187</v>
      </c>
      <c r="J65" s="11" t="n">
        <f aca="false">SUMIFS(Activites!$F$2:$F$189,Activites!$B$2:$B$189,$A65,Activites!$C$2:$C$189,"Spirituel")</f>
        <v>0</v>
      </c>
      <c r="K65" s="11" t="n">
        <f aca="false">SUMIFS(Activites!$F$2:$F$189,Activites!$B$2:$B$189,$A65,Activites!$C$2:$C$189,"Physique")</f>
        <v>0</v>
      </c>
      <c r="L65" s="11" t="n">
        <f aca="false">SUMIFS(Activites!$F$2:$F$189,Activites!$B$2:$B$189,$A65,Activites!$C$2:$C$189,"Études")</f>
        <v>77</v>
      </c>
      <c r="M65" s="11" t="n">
        <f aca="false">SUMIFS(Activites!$F$2:$F$189,Activites!$B$2:$B$189,$A65,Activites!$C$2:$C$189,"Professionnel")</f>
        <v>0</v>
      </c>
      <c r="N65" s="11" t="n">
        <f aca="false">SUMIFS(Activites!$F$2:$F$189,Activites!$B$2:$B$189,$A65,Activites!$C$2:$C$189,"Personnel")</f>
        <v>0</v>
      </c>
      <c r="O65" s="11" t="n">
        <f aca="false">SUMIFS(Activites!$F$2:$F$189,Activites!$B$2:$B$189,$A65,Activites!$C$2:$C$189,"Relationnel")</f>
        <v>20</v>
      </c>
      <c r="P65" s="11" t="n">
        <f aca="false">SUMIFS(Activites!$F$2:$F$189,Activites!$B$2:$B$189,$A65,Activites!$C$2:$C$189,"Loisirs et créativité")</f>
        <v>90</v>
      </c>
      <c r="Q65" s="10" t="n">
        <v>5.9</v>
      </c>
      <c r="R65" s="11"/>
      <c r="S65" s="11" t="n">
        <v>3</v>
      </c>
      <c r="T65" s="11" t="n">
        <v>2</v>
      </c>
      <c r="U65" s="11" t="n">
        <v>4</v>
      </c>
      <c r="V65" s="11" t="n">
        <v>4</v>
      </c>
      <c r="W65" s="11" t="n">
        <v>239</v>
      </c>
      <c r="X65" s="16" t="n">
        <v>5191</v>
      </c>
      <c r="Y65" s="10" t="n">
        <v>1.5</v>
      </c>
      <c r="Z65" s="11" t="n">
        <f aca="false">COUNTIFS(Reflexions!$A$2:$A$57,$A65)</f>
        <v>1</v>
      </c>
      <c r="AA65" s="17"/>
    </row>
    <row r="66" customFormat="false" ht="15" hidden="false" customHeight="false" outlineLevel="0" collapsed="false">
      <c r="A66" s="15" t="n">
        <v>46280</v>
      </c>
      <c r="B66" s="4" t="str">
        <f aca="false">INDEX({"Lundi","Mardi","Mercredi","Jeudi","Vendredi","Samedi","Dimanche"},WEEKDAY($A66,2))</f>
        <v>Mardi</v>
      </c>
      <c r="C66" s="4" t="s">
        <v>71</v>
      </c>
      <c r="D66" s="11" t="n">
        <f aca="false">COUNTIFS(Intentions!$B$2:$B$344,$A66)</f>
        <v>7</v>
      </c>
      <c r="E66" s="11" t="n">
        <f aca="false">COUNTIFS(Intentions!$B$2:$B$344,$A66,Intentions!$H$2:$H$344,"&lt;&gt;Prévu")</f>
        <v>7</v>
      </c>
      <c r="F66" s="11" t="n">
        <f aca="false">COUNTIFS(Intentions!$B$2:$B$344,$A66,Intentions!$H$2:$H$344,"Réalisé")+COUNTIFS(Intentions!$B$2:$B$344,$A66,Intentions!$H$2:$H$344,"Partiel")</f>
        <v>4</v>
      </c>
      <c r="G66" s="12" t="n">
        <f aca="false">IF(E66=0,"",SUMIFS(Intentions!$K$2:$K$344,Intentions!$B$2:$B$344,$A66)/E66)</f>
        <v>0.5</v>
      </c>
      <c r="H66" s="11" t="n">
        <f aca="false">SUMIFS(Intentions!$G$2:$G$344,Intentions!$B$2:$B$344,$A66)</f>
        <v>370</v>
      </c>
      <c r="I66" s="11" t="n">
        <f aca="false">SUMIFS(Activites!$F$2:$F$189,Activites!$B$2:$B$189,$A66)</f>
        <v>171</v>
      </c>
      <c r="J66" s="11" t="n">
        <f aca="false">SUMIFS(Activites!$F$2:$F$189,Activites!$B$2:$B$189,$A66,Activites!$C$2:$C$189,"Spirituel")</f>
        <v>12</v>
      </c>
      <c r="K66" s="11" t="n">
        <f aca="false">SUMIFS(Activites!$F$2:$F$189,Activites!$B$2:$B$189,$A66,Activites!$C$2:$C$189,"Physique")</f>
        <v>20</v>
      </c>
      <c r="L66" s="11" t="n">
        <f aca="false">SUMIFS(Activites!$F$2:$F$189,Activites!$B$2:$B$189,$A66,Activites!$C$2:$C$189,"Études")</f>
        <v>139</v>
      </c>
      <c r="M66" s="11" t="n">
        <f aca="false">SUMIFS(Activites!$F$2:$F$189,Activites!$B$2:$B$189,$A66,Activites!$C$2:$C$189,"Professionnel")</f>
        <v>0</v>
      </c>
      <c r="N66" s="11" t="n">
        <f aca="false">SUMIFS(Activites!$F$2:$F$189,Activites!$B$2:$B$189,$A66,Activites!$C$2:$C$189,"Personnel")</f>
        <v>0</v>
      </c>
      <c r="O66" s="11" t="n">
        <f aca="false">SUMIFS(Activites!$F$2:$F$189,Activites!$B$2:$B$189,$A66,Activites!$C$2:$C$189,"Relationnel")</f>
        <v>0</v>
      </c>
      <c r="P66" s="11" t="n">
        <f aca="false">SUMIFS(Activites!$F$2:$F$189,Activites!$B$2:$B$189,$A66,Activites!$C$2:$C$189,"Loisirs et créativité")</f>
        <v>0</v>
      </c>
      <c r="Q66" s="10" t="n">
        <v>5.6</v>
      </c>
      <c r="R66" s="11"/>
      <c r="S66" s="11" t="n">
        <v>3</v>
      </c>
      <c r="T66" s="11" t="n">
        <v>3</v>
      </c>
      <c r="U66" s="11" t="n">
        <v>3</v>
      </c>
      <c r="V66" s="11" t="n">
        <v>2</v>
      </c>
      <c r="W66" s="11" t="n">
        <v>229</v>
      </c>
      <c r="X66" s="16" t="n">
        <v>8875</v>
      </c>
      <c r="Y66" s="10" t="n">
        <v>1.3</v>
      </c>
      <c r="Z66" s="11" t="n">
        <f aca="false">COUNTIFS(Reflexions!$A$2:$A$57,$A66)</f>
        <v>1</v>
      </c>
      <c r="AA66" s="17"/>
    </row>
    <row r="67" customFormat="false" ht="15" hidden="false" customHeight="false" outlineLevel="0" collapsed="false">
      <c r="A67" s="15" t="n">
        <v>46281</v>
      </c>
      <c r="B67" s="4" t="str">
        <f aca="false">INDEX({"Lundi","Mardi","Mercredi","Jeudi","Vendredi","Samedi","Dimanche"},WEEKDAY($A67,2))</f>
        <v>Mercredi</v>
      </c>
      <c r="C67" s="4" t="s">
        <v>71</v>
      </c>
      <c r="D67" s="11" t="n">
        <f aca="false">COUNTIFS(Intentions!$B$2:$B$344,$A67)</f>
        <v>4</v>
      </c>
      <c r="E67" s="11" t="n">
        <f aca="false">COUNTIFS(Intentions!$B$2:$B$344,$A67,Intentions!$H$2:$H$344,"&lt;&gt;Prévu")</f>
        <v>4</v>
      </c>
      <c r="F67" s="11" t="n">
        <f aca="false">COUNTIFS(Intentions!$B$2:$B$344,$A67,Intentions!$H$2:$H$344,"Réalisé")+COUNTIFS(Intentions!$B$2:$B$344,$A67,Intentions!$H$2:$H$344,"Partiel")</f>
        <v>3</v>
      </c>
      <c r="G67" s="12" t="n">
        <f aca="false">IF(E67=0,"",SUMIFS(Intentions!$K$2:$K$344,Intentions!$B$2:$B$344,$A67)/E67)</f>
        <v>0.375</v>
      </c>
      <c r="H67" s="11" t="n">
        <f aca="false">SUMIFS(Intentions!$G$2:$G$344,Intentions!$B$2:$B$344,$A67)</f>
        <v>160</v>
      </c>
      <c r="I67" s="11" t="n">
        <f aca="false">SUMIFS(Activites!$F$2:$F$189,Activites!$B$2:$B$189,$A67)</f>
        <v>63</v>
      </c>
      <c r="J67" s="11" t="n">
        <f aca="false">SUMIFS(Activites!$F$2:$F$189,Activites!$B$2:$B$189,$A67,Activites!$C$2:$C$189,"Spirituel")</f>
        <v>14</v>
      </c>
      <c r="K67" s="11" t="n">
        <f aca="false">SUMIFS(Activites!$F$2:$F$189,Activites!$B$2:$B$189,$A67,Activites!$C$2:$C$189,"Physique")</f>
        <v>0</v>
      </c>
      <c r="L67" s="11" t="n">
        <f aca="false">SUMIFS(Activites!$F$2:$F$189,Activites!$B$2:$B$189,$A67,Activites!$C$2:$C$189,"Études")</f>
        <v>36</v>
      </c>
      <c r="M67" s="11" t="n">
        <f aca="false">SUMIFS(Activites!$F$2:$F$189,Activites!$B$2:$B$189,$A67,Activites!$C$2:$C$189,"Professionnel")</f>
        <v>0</v>
      </c>
      <c r="N67" s="11" t="n">
        <f aca="false">SUMIFS(Activites!$F$2:$F$189,Activites!$B$2:$B$189,$A67,Activites!$C$2:$C$189,"Personnel")</f>
        <v>0</v>
      </c>
      <c r="O67" s="11" t="n">
        <f aca="false">SUMIFS(Activites!$F$2:$F$189,Activites!$B$2:$B$189,$A67,Activites!$C$2:$C$189,"Relationnel")</f>
        <v>13</v>
      </c>
      <c r="P67" s="11" t="n">
        <f aca="false">SUMIFS(Activites!$F$2:$F$189,Activites!$B$2:$B$189,$A67,Activites!$C$2:$C$189,"Loisirs et créativité")</f>
        <v>0</v>
      </c>
      <c r="Q67" s="10" t="n">
        <v>8</v>
      </c>
      <c r="R67" s="11"/>
      <c r="S67" s="11" t="n">
        <v>5</v>
      </c>
      <c r="T67" s="11" t="n">
        <v>5</v>
      </c>
      <c r="U67" s="11" t="n">
        <v>4</v>
      </c>
      <c r="V67" s="11" t="n">
        <v>3</v>
      </c>
      <c r="W67" s="11" t="n">
        <v>200</v>
      </c>
      <c r="X67" s="16" t="n">
        <v>5861</v>
      </c>
      <c r="Y67" s="10" t="n">
        <v>2</v>
      </c>
      <c r="Z67" s="11" t="n">
        <f aca="false">COUNTIFS(Reflexions!$A$2:$A$57,$A67)</f>
        <v>0</v>
      </c>
      <c r="AA67" s="17"/>
    </row>
    <row r="68" customFormat="false" ht="15" hidden="false" customHeight="false" outlineLevel="0" collapsed="false">
      <c r="A68" s="15" t="n">
        <v>46282</v>
      </c>
      <c r="B68" s="4" t="str">
        <f aca="false">INDEX({"Lundi","Mardi","Mercredi","Jeudi","Vendredi","Samedi","Dimanche"},WEEKDAY($A68,2))</f>
        <v>Jeudi</v>
      </c>
      <c r="C68" s="4" t="s">
        <v>71</v>
      </c>
      <c r="D68" s="11" t="n">
        <f aca="false">COUNTIFS(Intentions!$B$2:$B$344,$A68)</f>
        <v>2</v>
      </c>
      <c r="E68" s="11" t="n">
        <f aca="false">COUNTIFS(Intentions!$B$2:$B$344,$A68,Intentions!$H$2:$H$344,"&lt;&gt;Prévu")</f>
        <v>2</v>
      </c>
      <c r="F68" s="11" t="n">
        <f aca="false">COUNTIFS(Intentions!$B$2:$B$344,$A68,Intentions!$H$2:$H$344,"Réalisé")+COUNTIFS(Intentions!$B$2:$B$344,$A68,Intentions!$H$2:$H$344,"Partiel")</f>
        <v>0</v>
      </c>
      <c r="G68" s="12" t="n">
        <f aca="false">IF(E68=0,"",SUMIFS(Intentions!$K$2:$K$344,Intentions!$B$2:$B$344,$A68)/E68)</f>
        <v>0</v>
      </c>
      <c r="H68" s="11" t="n">
        <f aca="false">SUMIFS(Intentions!$G$2:$G$344,Intentions!$B$2:$B$344,$A68)</f>
        <v>105</v>
      </c>
      <c r="I68" s="11" t="n">
        <f aca="false">SUMIFS(Activites!$F$2:$F$189,Activites!$B$2:$B$189,$A68)</f>
        <v>60</v>
      </c>
      <c r="J68" s="11" t="n">
        <f aca="false">SUMIFS(Activites!$F$2:$F$189,Activites!$B$2:$B$189,$A68,Activites!$C$2:$C$189,"Spirituel")</f>
        <v>0</v>
      </c>
      <c r="K68" s="11" t="n">
        <f aca="false">SUMIFS(Activites!$F$2:$F$189,Activites!$B$2:$B$189,$A68,Activites!$C$2:$C$189,"Physique")</f>
        <v>0</v>
      </c>
      <c r="L68" s="11" t="n">
        <f aca="false">SUMIFS(Activites!$F$2:$F$189,Activites!$B$2:$B$189,$A68,Activites!$C$2:$C$189,"Études")</f>
        <v>0</v>
      </c>
      <c r="M68" s="11" t="n">
        <f aca="false">SUMIFS(Activites!$F$2:$F$189,Activites!$B$2:$B$189,$A68,Activites!$C$2:$C$189,"Professionnel")</f>
        <v>0</v>
      </c>
      <c r="N68" s="11" t="n">
        <f aca="false">SUMIFS(Activites!$F$2:$F$189,Activites!$B$2:$B$189,$A68,Activites!$C$2:$C$189,"Personnel")</f>
        <v>0</v>
      </c>
      <c r="O68" s="11" t="n">
        <f aca="false">SUMIFS(Activites!$F$2:$F$189,Activites!$B$2:$B$189,$A68,Activites!$C$2:$C$189,"Relationnel")</f>
        <v>0</v>
      </c>
      <c r="P68" s="11" t="n">
        <f aca="false">SUMIFS(Activites!$F$2:$F$189,Activites!$B$2:$B$189,$A68,Activites!$C$2:$C$189,"Loisirs et créativité")</f>
        <v>60</v>
      </c>
      <c r="Q68" s="10" t="n">
        <v>7.2</v>
      </c>
      <c r="R68" s="11"/>
      <c r="S68" s="11" t="n">
        <v>5</v>
      </c>
      <c r="T68" s="11" t="n">
        <v>4</v>
      </c>
      <c r="U68" s="11" t="n">
        <v>1</v>
      </c>
      <c r="V68" s="11" t="n">
        <v>3</v>
      </c>
      <c r="W68" s="11" t="n">
        <v>123</v>
      </c>
      <c r="X68" s="16" t="n">
        <v>2851</v>
      </c>
      <c r="Y68" s="10" t="n">
        <v>2.4</v>
      </c>
      <c r="Z68" s="11" t="n">
        <f aca="false">COUNTIFS(Reflexions!$A$2:$A$57,$A68)</f>
        <v>0</v>
      </c>
      <c r="AA68" s="17"/>
    </row>
    <row r="69" customFormat="false" ht="15" hidden="false" customHeight="false" outlineLevel="0" collapsed="false">
      <c r="A69" s="15" t="n">
        <v>46283</v>
      </c>
      <c r="B69" s="4" t="str">
        <f aca="false">INDEX({"Lundi","Mardi","Mercredi","Jeudi","Vendredi","Samedi","Dimanche"},WEEKDAY($A69,2))</f>
        <v>Vendredi</v>
      </c>
      <c r="C69" s="4" t="s">
        <v>71</v>
      </c>
      <c r="D69" s="11" t="n">
        <f aca="false">COUNTIFS(Intentions!$B$2:$B$344,$A69)</f>
        <v>5</v>
      </c>
      <c r="E69" s="11" t="n">
        <f aca="false">COUNTIFS(Intentions!$B$2:$B$344,$A69,Intentions!$H$2:$H$344,"&lt;&gt;Prévu")</f>
        <v>5</v>
      </c>
      <c r="F69" s="11" t="n">
        <f aca="false">COUNTIFS(Intentions!$B$2:$B$344,$A69,Intentions!$H$2:$H$344,"Réalisé")+COUNTIFS(Intentions!$B$2:$B$344,$A69,Intentions!$H$2:$H$344,"Partiel")</f>
        <v>2</v>
      </c>
      <c r="G69" s="12" t="n">
        <f aca="false">IF(E69=0,"",SUMIFS(Intentions!$K$2:$K$344,Intentions!$B$2:$B$344,$A69)/E69)</f>
        <v>0.3</v>
      </c>
      <c r="H69" s="11" t="n">
        <f aca="false">SUMIFS(Intentions!$G$2:$G$344,Intentions!$B$2:$B$344,$A69)</f>
        <v>200</v>
      </c>
      <c r="I69" s="11" t="n">
        <f aca="false">SUMIFS(Activites!$F$2:$F$189,Activites!$B$2:$B$189,$A69)</f>
        <v>127</v>
      </c>
      <c r="J69" s="11" t="n">
        <f aca="false">SUMIFS(Activites!$F$2:$F$189,Activites!$B$2:$B$189,$A69,Activites!$C$2:$C$189,"Spirituel")</f>
        <v>0</v>
      </c>
      <c r="K69" s="11" t="n">
        <f aca="false">SUMIFS(Activites!$F$2:$F$189,Activites!$B$2:$B$189,$A69,Activites!$C$2:$C$189,"Physique")</f>
        <v>0</v>
      </c>
      <c r="L69" s="11" t="n">
        <f aca="false">SUMIFS(Activites!$F$2:$F$189,Activites!$B$2:$B$189,$A69,Activites!$C$2:$C$189,"Études")</f>
        <v>0</v>
      </c>
      <c r="M69" s="11" t="n">
        <f aca="false">SUMIFS(Activites!$F$2:$F$189,Activites!$B$2:$B$189,$A69,Activites!$C$2:$C$189,"Professionnel")</f>
        <v>49</v>
      </c>
      <c r="N69" s="11" t="n">
        <f aca="false">SUMIFS(Activites!$F$2:$F$189,Activites!$B$2:$B$189,$A69,Activites!$C$2:$C$189,"Personnel")</f>
        <v>18</v>
      </c>
      <c r="O69" s="11" t="n">
        <f aca="false">SUMIFS(Activites!$F$2:$F$189,Activites!$B$2:$B$189,$A69,Activites!$C$2:$C$189,"Relationnel")</f>
        <v>0</v>
      </c>
      <c r="P69" s="11" t="n">
        <f aca="false">SUMIFS(Activites!$F$2:$F$189,Activites!$B$2:$B$189,$A69,Activites!$C$2:$C$189,"Loisirs et créativité")</f>
        <v>60</v>
      </c>
      <c r="Q69" s="10" t="n">
        <v>6.2</v>
      </c>
      <c r="R69" s="11"/>
      <c r="S69" s="11" t="n">
        <v>2</v>
      </c>
      <c r="T69" s="11" t="n">
        <v>2</v>
      </c>
      <c r="U69" s="11" t="n">
        <v>2</v>
      </c>
      <c r="V69" s="11" t="n">
        <v>2</v>
      </c>
      <c r="W69" s="11" t="n">
        <v>269</v>
      </c>
      <c r="X69" s="16" t="n">
        <v>9413</v>
      </c>
      <c r="Y69" s="10" t="n">
        <v>2.5</v>
      </c>
      <c r="Z69" s="11" t="n">
        <f aca="false">COUNTIFS(Reflexions!$A$2:$A$57,$A69)</f>
        <v>0</v>
      </c>
      <c r="AA69" s="17"/>
    </row>
    <row r="70" customFormat="false" ht="15" hidden="false" customHeight="false" outlineLevel="0" collapsed="false">
      <c r="A70" s="15" t="n">
        <v>46284</v>
      </c>
      <c r="B70" s="4" t="str">
        <f aca="false">INDEX({"Lundi","Mardi","Mercredi","Jeudi","Vendredi","Samedi","Dimanche"},WEEKDAY($A70,2))</f>
        <v>Samedi</v>
      </c>
      <c r="C70" s="4" t="s">
        <v>71</v>
      </c>
      <c r="D70" s="11" t="n">
        <f aca="false">COUNTIFS(Intentions!$B$2:$B$344,$A70)</f>
        <v>2</v>
      </c>
      <c r="E70" s="11" t="n">
        <f aca="false">COUNTIFS(Intentions!$B$2:$B$344,$A70,Intentions!$H$2:$H$344,"&lt;&gt;Prévu")</f>
        <v>2</v>
      </c>
      <c r="F70" s="11" t="n">
        <f aca="false">COUNTIFS(Intentions!$B$2:$B$344,$A70,Intentions!$H$2:$H$344,"Réalisé")+COUNTIFS(Intentions!$B$2:$B$344,$A70,Intentions!$H$2:$H$344,"Partiel")</f>
        <v>0</v>
      </c>
      <c r="G70" s="12" t="n">
        <f aca="false">IF(E70=0,"",SUMIFS(Intentions!$K$2:$K$344,Intentions!$B$2:$B$344,$A70)/E70)</f>
        <v>0</v>
      </c>
      <c r="H70" s="11" t="n">
        <f aca="false">SUMIFS(Intentions!$G$2:$G$344,Intentions!$B$2:$B$344,$A70)</f>
        <v>180</v>
      </c>
      <c r="I70" s="11" t="n">
        <f aca="false">SUMIFS(Activites!$F$2:$F$189,Activites!$B$2:$B$189,$A70)</f>
        <v>0</v>
      </c>
      <c r="J70" s="11" t="n">
        <f aca="false">SUMIFS(Activites!$F$2:$F$189,Activites!$B$2:$B$189,$A70,Activites!$C$2:$C$189,"Spirituel")</f>
        <v>0</v>
      </c>
      <c r="K70" s="11" t="n">
        <f aca="false">SUMIFS(Activites!$F$2:$F$189,Activites!$B$2:$B$189,$A70,Activites!$C$2:$C$189,"Physique")</f>
        <v>0</v>
      </c>
      <c r="L70" s="11" t="n">
        <f aca="false">SUMIFS(Activites!$F$2:$F$189,Activites!$B$2:$B$189,$A70,Activites!$C$2:$C$189,"Études")</f>
        <v>0</v>
      </c>
      <c r="M70" s="11" t="n">
        <f aca="false">SUMIFS(Activites!$F$2:$F$189,Activites!$B$2:$B$189,$A70,Activites!$C$2:$C$189,"Professionnel")</f>
        <v>0</v>
      </c>
      <c r="N70" s="11" t="n">
        <f aca="false">SUMIFS(Activites!$F$2:$F$189,Activites!$B$2:$B$189,$A70,Activites!$C$2:$C$189,"Personnel")</f>
        <v>0</v>
      </c>
      <c r="O70" s="11" t="n">
        <f aca="false">SUMIFS(Activites!$F$2:$F$189,Activites!$B$2:$B$189,$A70,Activites!$C$2:$C$189,"Relationnel")</f>
        <v>0</v>
      </c>
      <c r="P70" s="11" t="n">
        <f aca="false">SUMIFS(Activites!$F$2:$F$189,Activites!$B$2:$B$189,$A70,Activites!$C$2:$C$189,"Loisirs et créativité")</f>
        <v>0</v>
      </c>
      <c r="Q70" s="10" t="n">
        <v>6.8</v>
      </c>
      <c r="R70" s="11"/>
      <c r="S70" s="11" t="n">
        <v>2</v>
      </c>
      <c r="T70" s="11" t="n">
        <v>3</v>
      </c>
      <c r="U70" s="11" t="n">
        <v>2</v>
      </c>
      <c r="V70" s="11" t="n">
        <v>2</v>
      </c>
      <c r="W70" s="11" t="n">
        <v>235</v>
      </c>
      <c r="X70" s="16" t="n">
        <v>7745</v>
      </c>
      <c r="Y70" s="10" t="n">
        <v>2.5</v>
      </c>
      <c r="Z70" s="11" t="n">
        <f aca="false">COUNTIFS(Reflexions!$A$2:$A$57,$A70)</f>
        <v>1</v>
      </c>
      <c r="AA70" s="17"/>
    </row>
    <row r="71" customFormat="false" ht="15" hidden="false" customHeight="false" outlineLevel="0" collapsed="false">
      <c r="A71" s="15" t="n">
        <v>46285</v>
      </c>
      <c r="B71" s="4" t="str">
        <f aca="false">INDEX({"Lundi","Mardi","Mercredi","Jeudi","Vendredi","Samedi","Dimanche"},WEEKDAY($A71,2))</f>
        <v>Dimanche</v>
      </c>
      <c r="C71" s="4" t="s">
        <v>71</v>
      </c>
      <c r="D71" s="11" t="n">
        <f aca="false">COUNTIFS(Intentions!$B$2:$B$344,$A71)</f>
        <v>6</v>
      </c>
      <c r="E71" s="11" t="n">
        <f aca="false">COUNTIFS(Intentions!$B$2:$B$344,$A71,Intentions!$H$2:$H$344,"&lt;&gt;Prévu")</f>
        <v>6</v>
      </c>
      <c r="F71" s="11" t="n">
        <f aca="false">COUNTIFS(Intentions!$B$2:$B$344,$A71,Intentions!$H$2:$H$344,"Réalisé")+COUNTIFS(Intentions!$B$2:$B$344,$A71,Intentions!$H$2:$H$344,"Partiel")</f>
        <v>3</v>
      </c>
      <c r="G71" s="12" t="n">
        <f aca="false">IF(E71=0,"",SUMIFS(Intentions!$K$2:$K$344,Intentions!$B$2:$B$344,$A71)/E71)</f>
        <v>0.416666666666667</v>
      </c>
      <c r="H71" s="11" t="n">
        <f aca="false">SUMIFS(Intentions!$G$2:$G$344,Intentions!$B$2:$B$344,$A71)</f>
        <v>230</v>
      </c>
      <c r="I71" s="11" t="n">
        <f aca="false">SUMIFS(Activites!$F$2:$F$189,Activites!$B$2:$B$189,$A71)</f>
        <v>156</v>
      </c>
      <c r="J71" s="11" t="n">
        <f aca="false">SUMIFS(Activites!$F$2:$F$189,Activites!$B$2:$B$189,$A71,Activites!$C$2:$C$189,"Spirituel")</f>
        <v>16</v>
      </c>
      <c r="K71" s="11" t="n">
        <f aca="false">SUMIFS(Activites!$F$2:$F$189,Activites!$B$2:$B$189,$A71,Activites!$C$2:$C$189,"Physique")</f>
        <v>19</v>
      </c>
      <c r="L71" s="11" t="n">
        <f aca="false">SUMIFS(Activites!$F$2:$F$189,Activites!$B$2:$B$189,$A71,Activites!$C$2:$C$189,"Études")</f>
        <v>0</v>
      </c>
      <c r="M71" s="11" t="n">
        <f aca="false">SUMIFS(Activites!$F$2:$F$189,Activites!$B$2:$B$189,$A71,Activites!$C$2:$C$189,"Professionnel")</f>
        <v>0</v>
      </c>
      <c r="N71" s="11" t="n">
        <f aca="false">SUMIFS(Activites!$F$2:$F$189,Activites!$B$2:$B$189,$A71,Activites!$C$2:$C$189,"Personnel")</f>
        <v>0</v>
      </c>
      <c r="O71" s="11" t="n">
        <f aca="false">SUMIFS(Activites!$F$2:$F$189,Activites!$B$2:$B$189,$A71,Activites!$C$2:$C$189,"Relationnel")</f>
        <v>31</v>
      </c>
      <c r="P71" s="11" t="n">
        <f aca="false">SUMIFS(Activites!$F$2:$F$189,Activites!$B$2:$B$189,$A71,Activites!$C$2:$C$189,"Loisirs et créativité")</f>
        <v>90</v>
      </c>
      <c r="Q71" s="10" t="n">
        <v>5.1</v>
      </c>
      <c r="R71" s="11"/>
      <c r="S71" s="11" t="n">
        <v>3</v>
      </c>
      <c r="T71" s="11" t="n">
        <v>2</v>
      </c>
      <c r="U71" s="11" t="n">
        <v>3</v>
      </c>
      <c r="V71" s="11" t="n">
        <v>2</v>
      </c>
      <c r="W71" s="11" t="n">
        <v>150</v>
      </c>
      <c r="X71" s="16" t="n">
        <v>3472</v>
      </c>
      <c r="Y71" s="10" t="n">
        <v>2</v>
      </c>
      <c r="Z71" s="11" t="n">
        <f aca="false">COUNTIFS(Reflexions!$A$2:$A$57,$A71)</f>
        <v>0</v>
      </c>
      <c r="AA71" s="17"/>
    </row>
    <row r="72" customFormat="false" ht="15" hidden="false" customHeight="false" outlineLevel="0" collapsed="false">
      <c r="A72" s="15" t="n">
        <v>46286</v>
      </c>
      <c r="B72" s="4" t="str">
        <f aca="false">INDEX({"Lundi","Mardi","Mercredi","Jeudi","Vendredi","Samedi","Dimanche"},WEEKDAY($A72,2))</f>
        <v>Lundi</v>
      </c>
      <c r="C72" s="4" t="s">
        <v>71</v>
      </c>
      <c r="D72" s="11" t="n">
        <f aca="false">COUNTIFS(Intentions!$B$2:$B$344,$A72)</f>
        <v>5</v>
      </c>
      <c r="E72" s="11" t="n">
        <f aca="false">COUNTIFS(Intentions!$B$2:$B$344,$A72,Intentions!$H$2:$H$344,"&lt;&gt;Prévu")</f>
        <v>5</v>
      </c>
      <c r="F72" s="11" t="n">
        <f aca="false">COUNTIFS(Intentions!$B$2:$B$344,$A72,Intentions!$H$2:$H$344,"Réalisé")+COUNTIFS(Intentions!$B$2:$B$344,$A72,Intentions!$H$2:$H$344,"Partiel")</f>
        <v>3</v>
      </c>
      <c r="G72" s="12" t="n">
        <f aca="false">IF(E72=0,"",SUMIFS(Intentions!$K$2:$K$344,Intentions!$B$2:$B$344,$A72)/E72)</f>
        <v>0.6</v>
      </c>
      <c r="H72" s="11" t="n">
        <f aca="false">SUMIFS(Intentions!$G$2:$G$344,Intentions!$B$2:$B$344,$A72)</f>
        <v>200</v>
      </c>
      <c r="I72" s="11" t="n">
        <f aca="false">SUMIFS(Activites!$F$2:$F$189,Activites!$B$2:$B$189,$A72)</f>
        <v>197</v>
      </c>
      <c r="J72" s="11" t="n">
        <f aca="false">SUMIFS(Activites!$F$2:$F$189,Activites!$B$2:$B$189,$A72,Activites!$C$2:$C$189,"Spirituel")</f>
        <v>21</v>
      </c>
      <c r="K72" s="11" t="n">
        <f aca="false">SUMIFS(Activites!$F$2:$F$189,Activites!$B$2:$B$189,$A72,Activites!$C$2:$C$189,"Physique")</f>
        <v>0</v>
      </c>
      <c r="L72" s="11" t="n">
        <f aca="false">SUMIFS(Activites!$F$2:$F$189,Activites!$B$2:$B$189,$A72,Activites!$C$2:$C$189,"Études")</f>
        <v>62</v>
      </c>
      <c r="M72" s="11" t="n">
        <f aca="false">SUMIFS(Activites!$F$2:$F$189,Activites!$B$2:$B$189,$A72,Activites!$C$2:$C$189,"Professionnel")</f>
        <v>54</v>
      </c>
      <c r="N72" s="11" t="n">
        <f aca="false">SUMIFS(Activites!$F$2:$F$189,Activites!$B$2:$B$189,$A72,Activites!$C$2:$C$189,"Personnel")</f>
        <v>0</v>
      </c>
      <c r="O72" s="11" t="n">
        <f aca="false">SUMIFS(Activites!$F$2:$F$189,Activites!$B$2:$B$189,$A72,Activites!$C$2:$C$189,"Relationnel")</f>
        <v>0</v>
      </c>
      <c r="P72" s="11" t="n">
        <f aca="false">SUMIFS(Activites!$F$2:$F$189,Activites!$B$2:$B$189,$A72,Activites!$C$2:$C$189,"Loisirs et créativité")</f>
        <v>60</v>
      </c>
      <c r="Q72" s="10" t="n">
        <v>7.8</v>
      </c>
      <c r="R72" s="11"/>
      <c r="S72" s="11" t="n">
        <v>4</v>
      </c>
      <c r="T72" s="11" t="n">
        <v>3</v>
      </c>
      <c r="U72" s="11" t="n">
        <v>3</v>
      </c>
      <c r="V72" s="11" t="n">
        <v>4</v>
      </c>
      <c r="W72" s="11" t="n">
        <v>130</v>
      </c>
      <c r="X72" s="16" t="n">
        <v>9444</v>
      </c>
      <c r="Y72" s="10" t="n">
        <v>0.8</v>
      </c>
      <c r="Z72" s="11" t="n">
        <f aca="false">COUNTIFS(Reflexions!$A$2:$A$57,$A72)</f>
        <v>1</v>
      </c>
      <c r="AA72" s="17" t="s">
        <v>73</v>
      </c>
    </row>
    <row r="73" customFormat="false" ht="15" hidden="false" customHeight="false" outlineLevel="0" collapsed="false">
      <c r="A73" s="15" t="n">
        <v>46287</v>
      </c>
      <c r="B73" s="4" t="str">
        <f aca="false">INDEX({"Lundi","Mardi","Mercredi","Jeudi","Vendredi","Samedi","Dimanche"},WEEKDAY($A73,2))</f>
        <v>Mardi</v>
      </c>
      <c r="C73" s="4" t="s">
        <v>71</v>
      </c>
      <c r="D73" s="11" t="n">
        <f aca="false">COUNTIFS(Intentions!$B$2:$B$344,$A73)</f>
        <v>7</v>
      </c>
      <c r="E73" s="11" t="n">
        <f aca="false">COUNTIFS(Intentions!$B$2:$B$344,$A73,Intentions!$H$2:$H$344,"&lt;&gt;Prévu")</f>
        <v>7</v>
      </c>
      <c r="F73" s="11" t="n">
        <f aca="false">COUNTIFS(Intentions!$B$2:$B$344,$A73,Intentions!$H$2:$H$344,"Réalisé")+COUNTIFS(Intentions!$B$2:$B$344,$A73,Intentions!$H$2:$H$344,"Partiel")</f>
        <v>2</v>
      </c>
      <c r="G73" s="12" t="n">
        <f aca="false">IF(E73=0,"",SUMIFS(Intentions!$K$2:$K$344,Intentions!$B$2:$B$344,$A73)/E73)</f>
        <v>0.285714285714286</v>
      </c>
      <c r="H73" s="11" t="n">
        <f aca="false">SUMIFS(Intentions!$G$2:$G$344,Intentions!$B$2:$B$344,$A73)</f>
        <v>290</v>
      </c>
      <c r="I73" s="11" t="n">
        <f aca="false">SUMIFS(Activites!$F$2:$F$189,Activites!$B$2:$B$189,$A73)</f>
        <v>196</v>
      </c>
      <c r="J73" s="11" t="n">
        <f aca="false">SUMIFS(Activites!$F$2:$F$189,Activites!$B$2:$B$189,$A73,Activites!$C$2:$C$189,"Spirituel")</f>
        <v>21</v>
      </c>
      <c r="K73" s="11" t="n">
        <f aca="false">SUMIFS(Activites!$F$2:$F$189,Activites!$B$2:$B$189,$A73,Activites!$C$2:$C$189,"Physique")</f>
        <v>0</v>
      </c>
      <c r="L73" s="11" t="n">
        <f aca="false">SUMIFS(Activites!$F$2:$F$189,Activites!$B$2:$B$189,$A73,Activites!$C$2:$C$189,"Études")</f>
        <v>0</v>
      </c>
      <c r="M73" s="11" t="n">
        <f aca="false">SUMIFS(Activites!$F$2:$F$189,Activites!$B$2:$B$189,$A73,Activites!$C$2:$C$189,"Professionnel")</f>
        <v>85</v>
      </c>
      <c r="N73" s="11" t="n">
        <f aca="false">SUMIFS(Activites!$F$2:$F$189,Activites!$B$2:$B$189,$A73,Activites!$C$2:$C$189,"Personnel")</f>
        <v>0</v>
      </c>
      <c r="O73" s="11" t="n">
        <f aca="false">SUMIFS(Activites!$F$2:$F$189,Activites!$B$2:$B$189,$A73,Activites!$C$2:$C$189,"Relationnel")</f>
        <v>0</v>
      </c>
      <c r="P73" s="11" t="n">
        <f aca="false">SUMIFS(Activites!$F$2:$F$189,Activites!$B$2:$B$189,$A73,Activites!$C$2:$C$189,"Loisirs et créativité")</f>
        <v>90</v>
      </c>
      <c r="Q73" s="10" t="n">
        <v>7.3</v>
      </c>
      <c r="R73" s="11"/>
      <c r="S73" s="11" t="n">
        <v>3</v>
      </c>
      <c r="T73" s="11" t="n">
        <v>3</v>
      </c>
      <c r="U73" s="11" t="n">
        <v>2</v>
      </c>
      <c r="V73" s="11" t="n">
        <v>3</v>
      </c>
      <c r="W73" s="11" t="n">
        <v>171</v>
      </c>
      <c r="X73" s="16" t="n">
        <v>3467</v>
      </c>
      <c r="Y73" s="10" t="n">
        <v>1.6</v>
      </c>
      <c r="Z73" s="11" t="n">
        <f aca="false">COUNTIFS(Reflexions!$A$2:$A$57,$A73)</f>
        <v>1</v>
      </c>
      <c r="AA73" s="17" t="s">
        <v>73</v>
      </c>
    </row>
    <row r="74" customFormat="false" ht="15" hidden="false" customHeight="false" outlineLevel="0" collapsed="false">
      <c r="A74" s="15" t="n">
        <v>46288</v>
      </c>
      <c r="B74" s="4" t="str">
        <f aca="false">INDEX({"Lundi","Mardi","Mercredi","Jeudi","Vendredi","Samedi","Dimanche"},WEEKDAY($A74,2))</f>
        <v>Mercredi</v>
      </c>
      <c r="C74" s="4" t="s">
        <v>71</v>
      </c>
      <c r="D74" s="11" t="n">
        <f aca="false">COUNTIFS(Intentions!$B$2:$B$344,$A74)</f>
        <v>4</v>
      </c>
      <c r="E74" s="11" t="n">
        <f aca="false">COUNTIFS(Intentions!$B$2:$B$344,$A74,Intentions!$H$2:$H$344,"&lt;&gt;Prévu")</f>
        <v>4</v>
      </c>
      <c r="F74" s="11" t="n">
        <f aca="false">COUNTIFS(Intentions!$B$2:$B$344,$A74,Intentions!$H$2:$H$344,"Réalisé")+COUNTIFS(Intentions!$B$2:$B$344,$A74,Intentions!$H$2:$H$344,"Partiel")</f>
        <v>2</v>
      </c>
      <c r="G74" s="12" t="n">
        <f aca="false">IF(E74=0,"",SUMIFS(Intentions!$K$2:$K$344,Intentions!$B$2:$B$344,$A74)/E74)</f>
        <v>0.25</v>
      </c>
      <c r="H74" s="11" t="n">
        <f aca="false">SUMIFS(Intentions!$G$2:$G$344,Intentions!$B$2:$B$344,$A74)</f>
        <v>225</v>
      </c>
      <c r="I74" s="11" t="n">
        <f aca="false">SUMIFS(Activites!$F$2:$F$189,Activites!$B$2:$B$189,$A74)</f>
        <v>27</v>
      </c>
      <c r="J74" s="11" t="n">
        <f aca="false">SUMIFS(Activites!$F$2:$F$189,Activites!$B$2:$B$189,$A74,Activites!$C$2:$C$189,"Spirituel")</f>
        <v>12</v>
      </c>
      <c r="K74" s="11" t="n">
        <f aca="false">SUMIFS(Activites!$F$2:$F$189,Activites!$B$2:$B$189,$A74,Activites!$C$2:$C$189,"Physique")</f>
        <v>0</v>
      </c>
      <c r="L74" s="11" t="n">
        <f aca="false">SUMIFS(Activites!$F$2:$F$189,Activites!$B$2:$B$189,$A74,Activites!$C$2:$C$189,"Études")</f>
        <v>0</v>
      </c>
      <c r="M74" s="11" t="n">
        <f aca="false">SUMIFS(Activites!$F$2:$F$189,Activites!$B$2:$B$189,$A74,Activites!$C$2:$C$189,"Professionnel")</f>
        <v>0</v>
      </c>
      <c r="N74" s="11" t="n">
        <f aca="false">SUMIFS(Activites!$F$2:$F$189,Activites!$B$2:$B$189,$A74,Activites!$C$2:$C$189,"Personnel")</f>
        <v>15</v>
      </c>
      <c r="O74" s="11" t="n">
        <f aca="false">SUMIFS(Activites!$F$2:$F$189,Activites!$B$2:$B$189,$A74,Activites!$C$2:$C$189,"Relationnel")</f>
        <v>0</v>
      </c>
      <c r="P74" s="11" t="n">
        <f aca="false">SUMIFS(Activites!$F$2:$F$189,Activites!$B$2:$B$189,$A74,Activites!$C$2:$C$189,"Loisirs et créativité")</f>
        <v>0</v>
      </c>
      <c r="Q74" s="10" t="n">
        <v>7.4</v>
      </c>
      <c r="R74" s="11"/>
      <c r="S74" s="11" t="n">
        <v>4</v>
      </c>
      <c r="T74" s="11" t="n">
        <v>4</v>
      </c>
      <c r="U74" s="11" t="n">
        <v>4</v>
      </c>
      <c r="V74" s="11" t="n">
        <v>3</v>
      </c>
      <c r="W74" s="11" t="n">
        <v>146</v>
      </c>
      <c r="X74" s="16" t="n">
        <v>10168</v>
      </c>
      <c r="Y74" s="10" t="n">
        <v>1.9</v>
      </c>
      <c r="Z74" s="11" t="n">
        <f aca="false">COUNTIFS(Reflexions!$A$2:$A$57,$A74)</f>
        <v>0</v>
      </c>
      <c r="AA74" s="17"/>
    </row>
    <row r="75" customFormat="false" ht="15" hidden="false" customHeight="false" outlineLevel="0" collapsed="false">
      <c r="A75" s="15" t="n">
        <v>46289</v>
      </c>
      <c r="B75" s="4" t="str">
        <f aca="false">INDEX({"Lundi","Mardi","Mercredi","Jeudi","Vendredi","Samedi","Dimanche"},WEEKDAY($A75,2))</f>
        <v>Jeudi</v>
      </c>
      <c r="C75" s="4" t="s">
        <v>71</v>
      </c>
      <c r="D75" s="11" t="n">
        <f aca="false">COUNTIFS(Intentions!$B$2:$B$344,$A75)</f>
        <v>5</v>
      </c>
      <c r="E75" s="11" t="n">
        <f aca="false">COUNTIFS(Intentions!$B$2:$B$344,$A75,Intentions!$H$2:$H$344,"&lt;&gt;Prévu")</f>
        <v>5</v>
      </c>
      <c r="F75" s="11" t="n">
        <f aca="false">COUNTIFS(Intentions!$B$2:$B$344,$A75,Intentions!$H$2:$H$344,"Réalisé")+COUNTIFS(Intentions!$B$2:$B$344,$A75,Intentions!$H$2:$H$344,"Partiel")</f>
        <v>2</v>
      </c>
      <c r="G75" s="12" t="n">
        <f aca="false">IF(E75=0,"",SUMIFS(Intentions!$K$2:$K$344,Intentions!$B$2:$B$344,$A75)/E75)</f>
        <v>0.4</v>
      </c>
      <c r="H75" s="11" t="n">
        <f aca="false">SUMIFS(Intentions!$G$2:$G$344,Intentions!$B$2:$B$344,$A75)</f>
        <v>245</v>
      </c>
      <c r="I75" s="11" t="n">
        <f aca="false">SUMIFS(Activites!$F$2:$F$189,Activites!$B$2:$B$189,$A75)</f>
        <v>37</v>
      </c>
      <c r="J75" s="11" t="n">
        <f aca="false">SUMIFS(Activites!$F$2:$F$189,Activites!$B$2:$B$189,$A75,Activites!$C$2:$C$189,"Spirituel")</f>
        <v>37</v>
      </c>
      <c r="K75" s="11" t="n">
        <f aca="false">SUMIFS(Activites!$F$2:$F$189,Activites!$B$2:$B$189,$A75,Activites!$C$2:$C$189,"Physique")</f>
        <v>0</v>
      </c>
      <c r="L75" s="11" t="n">
        <f aca="false">SUMIFS(Activites!$F$2:$F$189,Activites!$B$2:$B$189,$A75,Activites!$C$2:$C$189,"Études")</f>
        <v>0</v>
      </c>
      <c r="M75" s="11" t="n">
        <f aca="false">SUMIFS(Activites!$F$2:$F$189,Activites!$B$2:$B$189,$A75,Activites!$C$2:$C$189,"Professionnel")</f>
        <v>0</v>
      </c>
      <c r="N75" s="11" t="n">
        <f aca="false">SUMIFS(Activites!$F$2:$F$189,Activites!$B$2:$B$189,$A75,Activites!$C$2:$C$189,"Personnel")</f>
        <v>0</v>
      </c>
      <c r="O75" s="11" t="n">
        <f aca="false">SUMIFS(Activites!$F$2:$F$189,Activites!$B$2:$B$189,$A75,Activites!$C$2:$C$189,"Relationnel")</f>
        <v>0</v>
      </c>
      <c r="P75" s="11" t="n">
        <f aca="false">SUMIFS(Activites!$F$2:$F$189,Activites!$B$2:$B$189,$A75,Activites!$C$2:$C$189,"Loisirs et créativité")</f>
        <v>0</v>
      </c>
      <c r="Q75" s="10" t="n">
        <v>6.5</v>
      </c>
      <c r="R75" s="11"/>
      <c r="S75" s="11" t="n">
        <v>4</v>
      </c>
      <c r="T75" s="11" t="n">
        <v>4</v>
      </c>
      <c r="U75" s="11" t="n">
        <v>2</v>
      </c>
      <c r="V75" s="11" t="n">
        <v>4</v>
      </c>
      <c r="W75" s="11" t="n">
        <v>233</v>
      </c>
      <c r="X75" s="16" t="n">
        <v>10172</v>
      </c>
      <c r="Y75" s="10" t="n">
        <v>2.1</v>
      </c>
      <c r="Z75" s="11" t="n">
        <f aca="false">COUNTIFS(Reflexions!$A$2:$A$57,$A75)</f>
        <v>2</v>
      </c>
      <c r="AA75" s="17"/>
    </row>
    <row r="76" customFormat="false" ht="15" hidden="false" customHeight="false" outlineLevel="0" collapsed="false">
      <c r="A76" s="15" t="n">
        <v>46290</v>
      </c>
      <c r="B76" s="4" t="str">
        <f aca="false">INDEX({"Lundi","Mardi","Mercredi","Jeudi","Vendredi","Samedi","Dimanche"},WEEKDAY($A76,2))</f>
        <v>Vendredi</v>
      </c>
      <c r="C76" s="4" t="s">
        <v>71</v>
      </c>
      <c r="D76" s="11" t="n">
        <f aca="false">COUNTIFS(Intentions!$B$2:$B$344,$A76)</f>
        <v>7</v>
      </c>
      <c r="E76" s="11" t="n">
        <f aca="false">COUNTIFS(Intentions!$B$2:$B$344,$A76,Intentions!$H$2:$H$344,"&lt;&gt;Prévu")</f>
        <v>7</v>
      </c>
      <c r="F76" s="11" t="n">
        <f aca="false">COUNTIFS(Intentions!$B$2:$B$344,$A76,Intentions!$H$2:$H$344,"Réalisé")+COUNTIFS(Intentions!$B$2:$B$344,$A76,Intentions!$H$2:$H$344,"Partiel")</f>
        <v>5</v>
      </c>
      <c r="G76" s="12" t="n">
        <f aca="false">IF(E76=0,"",SUMIFS(Intentions!$K$2:$K$344,Intentions!$B$2:$B$344,$A76)/E76)</f>
        <v>0.571428571428571</v>
      </c>
      <c r="H76" s="11" t="n">
        <f aca="false">SUMIFS(Intentions!$G$2:$G$344,Intentions!$B$2:$B$344,$A76)</f>
        <v>275</v>
      </c>
      <c r="I76" s="11" t="n">
        <f aca="false">SUMIFS(Activites!$F$2:$F$189,Activites!$B$2:$B$189,$A76)</f>
        <v>157</v>
      </c>
      <c r="J76" s="11" t="n">
        <f aca="false">SUMIFS(Activites!$F$2:$F$189,Activites!$B$2:$B$189,$A76,Activites!$C$2:$C$189,"Spirituel")</f>
        <v>17</v>
      </c>
      <c r="K76" s="11" t="n">
        <f aca="false">SUMIFS(Activites!$F$2:$F$189,Activites!$B$2:$B$189,$A76,Activites!$C$2:$C$189,"Physique")</f>
        <v>25</v>
      </c>
      <c r="L76" s="11" t="n">
        <f aca="false">SUMIFS(Activites!$F$2:$F$189,Activites!$B$2:$B$189,$A76,Activites!$C$2:$C$189,"Études")</f>
        <v>91</v>
      </c>
      <c r="M76" s="11" t="n">
        <f aca="false">SUMIFS(Activites!$F$2:$F$189,Activites!$B$2:$B$189,$A76,Activites!$C$2:$C$189,"Professionnel")</f>
        <v>0</v>
      </c>
      <c r="N76" s="11" t="n">
        <f aca="false">SUMIFS(Activites!$F$2:$F$189,Activites!$B$2:$B$189,$A76,Activites!$C$2:$C$189,"Personnel")</f>
        <v>0</v>
      </c>
      <c r="O76" s="11" t="n">
        <f aca="false">SUMIFS(Activites!$F$2:$F$189,Activites!$B$2:$B$189,$A76,Activites!$C$2:$C$189,"Relationnel")</f>
        <v>24</v>
      </c>
      <c r="P76" s="11" t="n">
        <f aca="false">SUMIFS(Activites!$F$2:$F$189,Activites!$B$2:$B$189,$A76,Activites!$C$2:$C$189,"Loisirs et créativité")</f>
        <v>0</v>
      </c>
      <c r="Q76" s="10" t="n">
        <v>6.4</v>
      </c>
      <c r="R76" s="11"/>
      <c r="S76" s="11" t="n">
        <v>3</v>
      </c>
      <c r="T76" s="11" t="n">
        <v>4</v>
      </c>
      <c r="U76" s="11" t="n">
        <v>5</v>
      </c>
      <c r="V76" s="11" t="n">
        <v>2</v>
      </c>
      <c r="W76" s="11" t="n">
        <v>107</v>
      </c>
      <c r="X76" s="16" t="n">
        <v>5860</v>
      </c>
      <c r="Y76" s="10" t="n">
        <v>2.3</v>
      </c>
      <c r="Z76" s="11" t="n">
        <f aca="false">COUNTIFS(Reflexions!$A$2:$A$57,$A76)</f>
        <v>1</v>
      </c>
      <c r="AA76" s="17"/>
    </row>
    <row r="77" customFormat="false" ht="15" hidden="false" customHeight="false" outlineLevel="0" collapsed="false">
      <c r="A77" s="15" t="n">
        <v>46291</v>
      </c>
      <c r="B77" s="4" t="str">
        <f aca="false">INDEX({"Lundi","Mardi","Mercredi","Jeudi","Vendredi","Samedi","Dimanche"},WEEKDAY($A77,2))</f>
        <v>Samedi</v>
      </c>
      <c r="C77" s="4" t="s">
        <v>71</v>
      </c>
      <c r="D77" s="11" t="n">
        <f aca="false">COUNTIFS(Intentions!$B$2:$B$344,$A77)</f>
        <v>5</v>
      </c>
      <c r="E77" s="11" t="n">
        <f aca="false">COUNTIFS(Intentions!$B$2:$B$344,$A77,Intentions!$H$2:$H$344,"&lt;&gt;Prévu")</f>
        <v>5</v>
      </c>
      <c r="F77" s="11" t="n">
        <f aca="false">COUNTIFS(Intentions!$B$2:$B$344,$A77,Intentions!$H$2:$H$344,"Réalisé")+COUNTIFS(Intentions!$B$2:$B$344,$A77,Intentions!$H$2:$H$344,"Partiel")</f>
        <v>2</v>
      </c>
      <c r="G77" s="12" t="n">
        <f aca="false">IF(E77=0,"",SUMIFS(Intentions!$K$2:$K$344,Intentions!$B$2:$B$344,$A77)/E77)</f>
        <v>0.4</v>
      </c>
      <c r="H77" s="11" t="n">
        <f aca="false">SUMIFS(Intentions!$G$2:$G$344,Intentions!$B$2:$B$344,$A77)</f>
        <v>280</v>
      </c>
      <c r="I77" s="11" t="n">
        <f aca="false">SUMIFS(Activites!$F$2:$F$189,Activites!$B$2:$B$189,$A77)</f>
        <v>280</v>
      </c>
      <c r="J77" s="11" t="n">
        <f aca="false">SUMIFS(Activites!$F$2:$F$189,Activites!$B$2:$B$189,$A77,Activites!$C$2:$C$189,"Spirituel")</f>
        <v>16</v>
      </c>
      <c r="K77" s="11" t="n">
        <f aca="false">SUMIFS(Activites!$F$2:$F$189,Activites!$B$2:$B$189,$A77,Activites!$C$2:$C$189,"Physique")</f>
        <v>0</v>
      </c>
      <c r="L77" s="11" t="n">
        <f aca="false">SUMIFS(Activites!$F$2:$F$189,Activites!$B$2:$B$189,$A77,Activites!$C$2:$C$189,"Études")</f>
        <v>174</v>
      </c>
      <c r="M77" s="11" t="n">
        <f aca="false">SUMIFS(Activites!$F$2:$F$189,Activites!$B$2:$B$189,$A77,Activites!$C$2:$C$189,"Professionnel")</f>
        <v>0</v>
      </c>
      <c r="N77" s="11" t="n">
        <f aca="false">SUMIFS(Activites!$F$2:$F$189,Activites!$B$2:$B$189,$A77,Activites!$C$2:$C$189,"Personnel")</f>
        <v>0</v>
      </c>
      <c r="O77" s="11" t="n">
        <f aca="false">SUMIFS(Activites!$F$2:$F$189,Activites!$B$2:$B$189,$A77,Activites!$C$2:$C$189,"Relationnel")</f>
        <v>0</v>
      </c>
      <c r="P77" s="11" t="n">
        <f aca="false">SUMIFS(Activites!$F$2:$F$189,Activites!$B$2:$B$189,$A77,Activites!$C$2:$C$189,"Loisirs et créativité")</f>
        <v>90</v>
      </c>
      <c r="Q77" s="10" t="n">
        <v>7.3</v>
      </c>
      <c r="R77" s="11"/>
      <c r="S77" s="11" t="n">
        <v>3</v>
      </c>
      <c r="T77" s="11" t="n">
        <v>3</v>
      </c>
      <c r="U77" s="11" t="n">
        <v>2</v>
      </c>
      <c r="V77" s="11" t="n">
        <v>3</v>
      </c>
      <c r="W77" s="11" t="n">
        <v>143</v>
      </c>
      <c r="X77" s="16" t="n">
        <v>4596</v>
      </c>
      <c r="Y77" s="10" t="n">
        <v>2.1</v>
      </c>
      <c r="Z77" s="11" t="n">
        <f aca="false">COUNTIFS(Reflexions!$A$2:$A$57,$A77)</f>
        <v>1</v>
      </c>
      <c r="AA77" s="17"/>
    </row>
    <row r="78" customFormat="false" ht="15" hidden="false" customHeight="false" outlineLevel="0" collapsed="false">
      <c r="A78" s="15" t="n">
        <v>46292</v>
      </c>
      <c r="B78" s="4" t="str">
        <f aca="false">INDEX({"Lundi","Mardi","Mercredi","Jeudi","Vendredi","Samedi","Dimanche"},WEEKDAY($A78,2))</f>
        <v>Dimanche</v>
      </c>
      <c r="C78" s="4" t="s">
        <v>71</v>
      </c>
      <c r="D78" s="11" t="n">
        <f aca="false">COUNTIFS(Intentions!$B$2:$B$344,$A78)</f>
        <v>5</v>
      </c>
      <c r="E78" s="11" t="n">
        <f aca="false">COUNTIFS(Intentions!$B$2:$B$344,$A78,Intentions!$H$2:$H$344,"&lt;&gt;Prévu")</f>
        <v>5</v>
      </c>
      <c r="F78" s="11" t="n">
        <f aca="false">COUNTIFS(Intentions!$B$2:$B$344,$A78,Intentions!$H$2:$H$344,"Réalisé")+COUNTIFS(Intentions!$B$2:$B$344,$A78,Intentions!$H$2:$H$344,"Partiel")</f>
        <v>4</v>
      </c>
      <c r="G78" s="12" t="n">
        <f aca="false">IF(E78=0,"",SUMIFS(Intentions!$K$2:$K$344,Intentions!$B$2:$B$344,$A78)/E78)</f>
        <v>0.6</v>
      </c>
      <c r="H78" s="11" t="n">
        <f aca="false">SUMIFS(Intentions!$G$2:$G$344,Intentions!$B$2:$B$344,$A78)</f>
        <v>220</v>
      </c>
      <c r="I78" s="11" t="n">
        <f aca="false">SUMIFS(Activites!$F$2:$F$189,Activites!$B$2:$B$189,$A78)</f>
        <v>240</v>
      </c>
      <c r="J78" s="11" t="n">
        <f aca="false">SUMIFS(Activites!$F$2:$F$189,Activites!$B$2:$B$189,$A78,Activites!$C$2:$C$189,"Spirituel")</f>
        <v>7</v>
      </c>
      <c r="K78" s="11" t="n">
        <f aca="false">SUMIFS(Activites!$F$2:$F$189,Activites!$B$2:$B$189,$A78,Activites!$C$2:$C$189,"Physique")</f>
        <v>28</v>
      </c>
      <c r="L78" s="11" t="n">
        <f aca="false">SUMIFS(Activites!$F$2:$F$189,Activites!$B$2:$B$189,$A78,Activites!$C$2:$C$189,"Études")</f>
        <v>55</v>
      </c>
      <c r="M78" s="11" t="n">
        <f aca="false">SUMIFS(Activites!$F$2:$F$189,Activites!$B$2:$B$189,$A78,Activites!$C$2:$C$189,"Professionnel")</f>
        <v>90</v>
      </c>
      <c r="N78" s="11" t="n">
        <f aca="false">SUMIFS(Activites!$F$2:$F$189,Activites!$B$2:$B$189,$A78,Activites!$C$2:$C$189,"Personnel")</f>
        <v>0</v>
      </c>
      <c r="O78" s="11" t="n">
        <f aca="false">SUMIFS(Activites!$F$2:$F$189,Activites!$B$2:$B$189,$A78,Activites!$C$2:$C$189,"Relationnel")</f>
        <v>0</v>
      </c>
      <c r="P78" s="11" t="n">
        <f aca="false">SUMIFS(Activites!$F$2:$F$189,Activites!$B$2:$B$189,$A78,Activites!$C$2:$C$189,"Loisirs et créativité")</f>
        <v>60</v>
      </c>
      <c r="Q78" s="10" t="n">
        <v>6</v>
      </c>
      <c r="R78" s="11"/>
      <c r="S78" s="11" t="n">
        <v>1</v>
      </c>
      <c r="T78" s="11" t="n">
        <v>1</v>
      </c>
      <c r="U78" s="11" t="n">
        <v>3</v>
      </c>
      <c r="V78" s="11" t="n">
        <v>3</v>
      </c>
      <c r="W78" s="11" t="n">
        <v>138</v>
      </c>
      <c r="X78" s="16" t="n">
        <v>8301</v>
      </c>
      <c r="Y78" s="10" t="n">
        <v>0.8</v>
      </c>
      <c r="Z78" s="11" t="n">
        <f aca="false">COUNTIFS(Reflexions!$A$2:$A$57,$A78)</f>
        <v>0</v>
      </c>
      <c r="AA78" s="17"/>
    </row>
    <row r="79" customFormat="false" ht="15" hidden="false" customHeight="false" outlineLevel="0" collapsed="false">
      <c r="A79" s="15" t="n">
        <v>46293</v>
      </c>
      <c r="B79" s="4" t="str">
        <f aca="false">INDEX({"Lundi","Mardi","Mercredi","Jeudi","Vendredi","Samedi","Dimanche"},WEEKDAY($A79,2))</f>
        <v>Lundi</v>
      </c>
      <c r="C79" s="4" t="s">
        <v>71</v>
      </c>
      <c r="D79" s="11" t="n">
        <f aca="false">COUNTIFS(Intentions!$B$2:$B$344,$A79)</f>
        <v>3</v>
      </c>
      <c r="E79" s="11" t="n">
        <f aca="false">COUNTIFS(Intentions!$B$2:$B$344,$A79,Intentions!$H$2:$H$344,"&lt;&gt;Prévu")</f>
        <v>3</v>
      </c>
      <c r="F79" s="11" t="n">
        <f aca="false">COUNTIFS(Intentions!$B$2:$B$344,$A79,Intentions!$H$2:$H$344,"Réalisé")+COUNTIFS(Intentions!$B$2:$B$344,$A79,Intentions!$H$2:$H$344,"Partiel")</f>
        <v>1</v>
      </c>
      <c r="G79" s="12" t="n">
        <f aca="false">IF(E79=0,"",SUMIFS(Intentions!$K$2:$K$344,Intentions!$B$2:$B$344,$A79)/E79)</f>
        <v>0.333333333333333</v>
      </c>
      <c r="H79" s="11" t="n">
        <f aca="false">SUMIFS(Intentions!$G$2:$G$344,Intentions!$B$2:$B$344,$A79)</f>
        <v>110</v>
      </c>
      <c r="I79" s="11" t="n">
        <f aca="false">SUMIFS(Activites!$F$2:$F$189,Activites!$B$2:$B$189,$A79)</f>
        <v>25</v>
      </c>
      <c r="J79" s="11" t="n">
        <f aca="false">SUMIFS(Activites!$F$2:$F$189,Activites!$B$2:$B$189,$A79,Activites!$C$2:$C$189,"Spirituel")</f>
        <v>0</v>
      </c>
      <c r="K79" s="11" t="n">
        <f aca="false">SUMIFS(Activites!$F$2:$F$189,Activites!$B$2:$B$189,$A79,Activites!$C$2:$C$189,"Physique")</f>
        <v>0</v>
      </c>
      <c r="L79" s="11" t="n">
        <f aca="false">SUMIFS(Activites!$F$2:$F$189,Activites!$B$2:$B$189,$A79,Activites!$C$2:$C$189,"Études")</f>
        <v>0</v>
      </c>
      <c r="M79" s="11" t="n">
        <f aca="false">SUMIFS(Activites!$F$2:$F$189,Activites!$B$2:$B$189,$A79,Activites!$C$2:$C$189,"Professionnel")</f>
        <v>0</v>
      </c>
      <c r="N79" s="11" t="n">
        <f aca="false">SUMIFS(Activites!$F$2:$F$189,Activites!$B$2:$B$189,$A79,Activites!$C$2:$C$189,"Personnel")</f>
        <v>25</v>
      </c>
      <c r="O79" s="11" t="n">
        <f aca="false">SUMIFS(Activites!$F$2:$F$189,Activites!$B$2:$B$189,$A79,Activites!$C$2:$C$189,"Relationnel")</f>
        <v>0</v>
      </c>
      <c r="P79" s="11" t="n">
        <f aca="false">SUMIFS(Activites!$F$2:$F$189,Activites!$B$2:$B$189,$A79,Activites!$C$2:$C$189,"Loisirs et créativité")</f>
        <v>0</v>
      </c>
      <c r="Q79" s="10" t="n">
        <v>7.6</v>
      </c>
      <c r="R79" s="11"/>
      <c r="S79" s="11" t="n">
        <v>3</v>
      </c>
      <c r="T79" s="11" t="n">
        <v>3</v>
      </c>
      <c r="U79" s="11" t="n">
        <v>2</v>
      </c>
      <c r="V79" s="11" t="n">
        <v>1</v>
      </c>
      <c r="W79" s="11" t="n">
        <v>332</v>
      </c>
      <c r="X79" s="16" t="n">
        <v>3622</v>
      </c>
      <c r="Y79" s="10" t="n">
        <v>1.6</v>
      </c>
      <c r="Z79" s="11" t="n">
        <f aca="false">COUNTIFS(Reflexions!$A$2:$A$57,$A79)</f>
        <v>1</v>
      </c>
      <c r="AA79" s="17"/>
    </row>
    <row r="80" customFormat="false" ht="15" hidden="false" customHeight="false" outlineLevel="0" collapsed="false">
      <c r="A80" s="15" t="n">
        <v>46294</v>
      </c>
      <c r="B80" s="4" t="str">
        <f aca="false">INDEX({"Lundi","Mardi","Mercredi","Jeudi","Vendredi","Samedi","Dimanche"},WEEKDAY($A80,2))</f>
        <v>Mardi</v>
      </c>
      <c r="C80" s="4" t="s">
        <v>71</v>
      </c>
      <c r="D80" s="11" t="n">
        <f aca="false">COUNTIFS(Intentions!$B$2:$B$344,$A80)</f>
        <v>2</v>
      </c>
      <c r="E80" s="11" t="n">
        <f aca="false">COUNTIFS(Intentions!$B$2:$B$344,$A80,Intentions!$H$2:$H$344,"&lt;&gt;Prévu")</f>
        <v>2</v>
      </c>
      <c r="F80" s="11" t="n">
        <f aca="false">COUNTIFS(Intentions!$B$2:$B$344,$A80,Intentions!$H$2:$H$344,"Réalisé")+COUNTIFS(Intentions!$B$2:$B$344,$A80,Intentions!$H$2:$H$344,"Partiel")</f>
        <v>0</v>
      </c>
      <c r="G80" s="12" t="n">
        <f aca="false">IF(E80=0,"",SUMIFS(Intentions!$K$2:$K$344,Intentions!$B$2:$B$344,$A80)/E80)</f>
        <v>0</v>
      </c>
      <c r="H80" s="11" t="n">
        <f aca="false">SUMIFS(Intentions!$G$2:$G$344,Intentions!$B$2:$B$344,$A80)</f>
        <v>60</v>
      </c>
      <c r="I80" s="11" t="n">
        <f aca="false">SUMIFS(Activites!$F$2:$F$189,Activites!$B$2:$B$189,$A80)</f>
        <v>0</v>
      </c>
      <c r="J80" s="11" t="n">
        <f aca="false">SUMIFS(Activites!$F$2:$F$189,Activites!$B$2:$B$189,$A80,Activites!$C$2:$C$189,"Spirituel")</f>
        <v>0</v>
      </c>
      <c r="K80" s="11" t="n">
        <f aca="false">SUMIFS(Activites!$F$2:$F$189,Activites!$B$2:$B$189,$A80,Activites!$C$2:$C$189,"Physique")</f>
        <v>0</v>
      </c>
      <c r="L80" s="11" t="n">
        <f aca="false">SUMIFS(Activites!$F$2:$F$189,Activites!$B$2:$B$189,$A80,Activites!$C$2:$C$189,"Études")</f>
        <v>0</v>
      </c>
      <c r="M80" s="11" t="n">
        <f aca="false">SUMIFS(Activites!$F$2:$F$189,Activites!$B$2:$B$189,$A80,Activites!$C$2:$C$189,"Professionnel")</f>
        <v>0</v>
      </c>
      <c r="N80" s="11" t="n">
        <f aca="false">SUMIFS(Activites!$F$2:$F$189,Activites!$B$2:$B$189,$A80,Activites!$C$2:$C$189,"Personnel")</f>
        <v>0</v>
      </c>
      <c r="O80" s="11" t="n">
        <f aca="false">SUMIFS(Activites!$F$2:$F$189,Activites!$B$2:$B$189,$A80,Activites!$C$2:$C$189,"Relationnel")</f>
        <v>0</v>
      </c>
      <c r="P80" s="11" t="n">
        <f aca="false">SUMIFS(Activites!$F$2:$F$189,Activites!$B$2:$B$189,$A80,Activites!$C$2:$C$189,"Loisirs et créativité")</f>
        <v>0</v>
      </c>
      <c r="Q80" s="10" t="n">
        <v>5.2</v>
      </c>
      <c r="R80" s="11"/>
      <c r="S80" s="11" t="n">
        <v>1</v>
      </c>
      <c r="T80" s="11" t="n">
        <v>1</v>
      </c>
      <c r="U80" s="11" t="n">
        <v>2</v>
      </c>
      <c r="V80" s="11" t="n">
        <v>4</v>
      </c>
      <c r="W80" s="11" t="n">
        <v>180</v>
      </c>
      <c r="X80" s="16" t="n">
        <v>11428</v>
      </c>
      <c r="Y80" s="10" t="n">
        <v>1.8</v>
      </c>
      <c r="Z80" s="11" t="n">
        <f aca="false">COUNTIFS(Reflexions!$A$2:$A$57,$A80)</f>
        <v>1</v>
      </c>
      <c r="AA80" s="17"/>
    </row>
    <row r="81" customFormat="false" ht="15" hidden="false" customHeight="false" outlineLevel="0" collapsed="false">
      <c r="A81" s="15" t="n">
        <v>46295</v>
      </c>
      <c r="B81" s="4" t="str">
        <f aca="false">INDEX({"Lundi","Mardi","Mercredi","Jeudi","Vendredi","Samedi","Dimanche"},WEEKDAY($A81,2))</f>
        <v>Mercredi</v>
      </c>
      <c r="C81" s="4" t="s">
        <v>71</v>
      </c>
      <c r="D81" s="11" t="n">
        <f aca="false">COUNTIFS(Intentions!$B$2:$B$344,$A81)</f>
        <v>6</v>
      </c>
      <c r="E81" s="11" t="n">
        <f aca="false">COUNTIFS(Intentions!$B$2:$B$344,$A81,Intentions!$H$2:$H$344,"&lt;&gt;Prévu")</f>
        <v>6</v>
      </c>
      <c r="F81" s="11" t="n">
        <f aca="false">COUNTIFS(Intentions!$B$2:$B$344,$A81,Intentions!$H$2:$H$344,"Réalisé")+COUNTIFS(Intentions!$B$2:$B$344,$A81,Intentions!$H$2:$H$344,"Partiel")</f>
        <v>0</v>
      </c>
      <c r="G81" s="12" t="n">
        <f aca="false">IF(E81=0,"",SUMIFS(Intentions!$K$2:$K$344,Intentions!$B$2:$B$344,$A81)/E81)</f>
        <v>0</v>
      </c>
      <c r="H81" s="11" t="n">
        <f aca="false">SUMIFS(Intentions!$G$2:$G$344,Intentions!$B$2:$B$344,$A81)</f>
        <v>245</v>
      </c>
      <c r="I81" s="11" t="n">
        <f aca="false">SUMIFS(Activites!$F$2:$F$189,Activites!$B$2:$B$189,$A81)</f>
        <v>0</v>
      </c>
      <c r="J81" s="11" t="n">
        <f aca="false">SUMIFS(Activites!$F$2:$F$189,Activites!$B$2:$B$189,$A81,Activites!$C$2:$C$189,"Spirituel")</f>
        <v>0</v>
      </c>
      <c r="K81" s="11" t="n">
        <f aca="false">SUMIFS(Activites!$F$2:$F$189,Activites!$B$2:$B$189,$A81,Activites!$C$2:$C$189,"Physique")</f>
        <v>0</v>
      </c>
      <c r="L81" s="11" t="n">
        <f aca="false">SUMIFS(Activites!$F$2:$F$189,Activites!$B$2:$B$189,$A81,Activites!$C$2:$C$189,"Études")</f>
        <v>0</v>
      </c>
      <c r="M81" s="11" t="n">
        <f aca="false">SUMIFS(Activites!$F$2:$F$189,Activites!$B$2:$B$189,$A81,Activites!$C$2:$C$189,"Professionnel")</f>
        <v>0</v>
      </c>
      <c r="N81" s="11" t="n">
        <f aca="false">SUMIFS(Activites!$F$2:$F$189,Activites!$B$2:$B$189,$A81,Activites!$C$2:$C$189,"Personnel")</f>
        <v>0</v>
      </c>
      <c r="O81" s="11" t="n">
        <f aca="false">SUMIFS(Activites!$F$2:$F$189,Activites!$B$2:$B$189,$A81,Activites!$C$2:$C$189,"Relationnel")</f>
        <v>0</v>
      </c>
      <c r="P81" s="11" t="n">
        <f aca="false">SUMIFS(Activites!$F$2:$F$189,Activites!$B$2:$B$189,$A81,Activites!$C$2:$C$189,"Loisirs et créativité")</f>
        <v>0</v>
      </c>
      <c r="Q81" s="10" t="n">
        <v>5.3</v>
      </c>
      <c r="R81" s="11"/>
      <c r="S81" s="11" t="n">
        <v>1</v>
      </c>
      <c r="T81" s="11" t="n">
        <v>1</v>
      </c>
      <c r="U81" s="11" t="n">
        <v>3</v>
      </c>
      <c r="V81" s="11" t="n">
        <v>4</v>
      </c>
      <c r="W81" s="11" t="n">
        <v>146</v>
      </c>
      <c r="X81" s="16" t="n">
        <v>8169</v>
      </c>
      <c r="Y81" s="10" t="n">
        <v>1.1</v>
      </c>
      <c r="Z81" s="11" t="n">
        <f aca="false">COUNTIFS(Reflexions!$A$2:$A$57,$A81)</f>
        <v>0</v>
      </c>
      <c r="AA81" s="17"/>
    </row>
    <row r="82" customFormat="false" ht="15" hidden="false" customHeight="false" outlineLevel="0" collapsed="false">
      <c r="A82" s="15" t="n">
        <v>46296</v>
      </c>
      <c r="B82" s="4" t="str">
        <f aca="false">INDEX({"Lundi","Mardi","Mercredi","Jeudi","Vendredi","Samedi","Dimanche"},WEEKDAY($A82,2))</f>
        <v>Jeudi</v>
      </c>
      <c r="C82" s="4" t="s">
        <v>71</v>
      </c>
      <c r="D82" s="11" t="n">
        <f aca="false">COUNTIFS(Intentions!$B$2:$B$344,$A82)</f>
        <v>4</v>
      </c>
      <c r="E82" s="11" t="n">
        <f aca="false">COUNTIFS(Intentions!$B$2:$B$344,$A82,Intentions!$H$2:$H$344,"&lt;&gt;Prévu")</f>
        <v>4</v>
      </c>
      <c r="F82" s="11" t="n">
        <f aca="false">COUNTIFS(Intentions!$B$2:$B$344,$A82,Intentions!$H$2:$H$344,"Réalisé")+COUNTIFS(Intentions!$B$2:$B$344,$A82,Intentions!$H$2:$H$344,"Partiel")</f>
        <v>4</v>
      </c>
      <c r="G82" s="12" t="n">
        <f aca="false">IF(E82=0,"",SUMIFS(Intentions!$K$2:$K$344,Intentions!$B$2:$B$344,$A82)/E82)</f>
        <v>0.875</v>
      </c>
      <c r="H82" s="11" t="n">
        <f aca="false">SUMIFS(Intentions!$G$2:$G$344,Intentions!$B$2:$B$344,$A82)</f>
        <v>215</v>
      </c>
      <c r="I82" s="11" t="n">
        <f aca="false">SUMIFS(Activites!$F$2:$F$189,Activites!$B$2:$B$189,$A82)</f>
        <v>199</v>
      </c>
      <c r="J82" s="11" t="n">
        <f aca="false">SUMIFS(Activites!$F$2:$F$189,Activites!$B$2:$B$189,$A82,Activites!$C$2:$C$189,"Spirituel")</f>
        <v>34</v>
      </c>
      <c r="K82" s="11" t="n">
        <f aca="false">SUMIFS(Activites!$F$2:$F$189,Activites!$B$2:$B$189,$A82,Activites!$C$2:$C$189,"Physique")</f>
        <v>0</v>
      </c>
      <c r="L82" s="11" t="n">
        <f aca="false">SUMIFS(Activites!$F$2:$F$189,Activites!$B$2:$B$189,$A82,Activites!$C$2:$C$189,"Études")</f>
        <v>165</v>
      </c>
      <c r="M82" s="11" t="n">
        <f aca="false">SUMIFS(Activites!$F$2:$F$189,Activites!$B$2:$B$189,$A82,Activites!$C$2:$C$189,"Professionnel")</f>
        <v>0</v>
      </c>
      <c r="N82" s="11" t="n">
        <f aca="false">SUMIFS(Activites!$F$2:$F$189,Activites!$B$2:$B$189,$A82,Activites!$C$2:$C$189,"Personnel")</f>
        <v>0</v>
      </c>
      <c r="O82" s="11" t="n">
        <f aca="false">SUMIFS(Activites!$F$2:$F$189,Activites!$B$2:$B$189,$A82,Activites!$C$2:$C$189,"Relationnel")</f>
        <v>0</v>
      </c>
      <c r="P82" s="11" t="n">
        <f aca="false">SUMIFS(Activites!$F$2:$F$189,Activites!$B$2:$B$189,$A82,Activites!$C$2:$C$189,"Loisirs et créativité")</f>
        <v>0</v>
      </c>
      <c r="Q82" s="10" t="n">
        <v>7</v>
      </c>
      <c r="R82" s="11"/>
      <c r="S82" s="11" t="n">
        <v>3</v>
      </c>
      <c r="T82" s="11" t="n">
        <v>3</v>
      </c>
      <c r="U82" s="11" t="n">
        <v>5</v>
      </c>
      <c r="V82" s="11" t="n">
        <v>3</v>
      </c>
      <c r="W82" s="11" t="n">
        <v>302</v>
      </c>
      <c r="X82" s="16" t="n">
        <v>8531</v>
      </c>
      <c r="Y82" s="10" t="n">
        <v>1.8</v>
      </c>
      <c r="Z82" s="11" t="n">
        <f aca="false">COUNTIFS(Reflexions!$A$2:$A$57,$A82)</f>
        <v>0</v>
      </c>
      <c r="AA82" s="17"/>
    </row>
    <row r="83" customFormat="false" ht="15" hidden="false" customHeight="false" outlineLevel="0" collapsed="false">
      <c r="A83" s="15" t="n">
        <v>46297</v>
      </c>
      <c r="B83" s="4" t="str">
        <f aca="false">INDEX({"Lundi","Mardi","Mercredi","Jeudi","Vendredi","Samedi","Dimanche"},WEEKDAY($A83,2))</f>
        <v>Vendredi</v>
      </c>
      <c r="C83" s="4" t="s">
        <v>71</v>
      </c>
      <c r="D83" s="11" t="n">
        <f aca="false">COUNTIFS(Intentions!$B$2:$B$344,$A83)</f>
        <v>7</v>
      </c>
      <c r="E83" s="11" t="n">
        <f aca="false">COUNTIFS(Intentions!$B$2:$B$344,$A83,Intentions!$H$2:$H$344,"&lt;&gt;Prévu")</f>
        <v>7</v>
      </c>
      <c r="F83" s="11" t="n">
        <f aca="false">COUNTIFS(Intentions!$B$2:$B$344,$A83,Intentions!$H$2:$H$344,"Réalisé")+COUNTIFS(Intentions!$B$2:$B$344,$A83,Intentions!$H$2:$H$344,"Partiel")</f>
        <v>5</v>
      </c>
      <c r="G83" s="12" t="n">
        <f aca="false">IF(E83=0,"",SUMIFS(Intentions!$K$2:$K$344,Intentions!$B$2:$B$344,$A83)/E83)</f>
        <v>0.714285714285714</v>
      </c>
      <c r="H83" s="11" t="n">
        <f aca="false">SUMIFS(Intentions!$G$2:$G$344,Intentions!$B$2:$B$344,$A83)</f>
        <v>325</v>
      </c>
      <c r="I83" s="11" t="n">
        <f aca="false">SUMIFS(Activites!$F$2:$F$189,Activites!$B$2:$B$189,$A83)</f>
        <v>263</v>
      </c>
      <c r="J83" s="11" t="n">
        <f aca="false">SUMIFS(Activites!$F$2:$F$189,Activites!$B$2:$B$189,$A83,Activites!$C$2:$C$189,"Spirituel")</f>
        <v>36</v>
      </c>
      <c r="K83" s="11" t="n">
        <f aca="false">SUMIFS(Activites!$F$2:$F$189,Activites!$B$2:$B$189,$A83,Activites!$C$2:$C$189,"Physique")</f>
        <v>0</v>
      </c>
      <c r="L83" s="11" t="n">
        <f aca="false">SUMIFS(Activites!$F$2:$F$189,Activites!$B$2:$B$189,$A83,Activites!$C$2:$C$189,"Études")</f>
        <v>206</v>
      </c>
      <c r="M83" s="11" t="n">
        <f aca="false">SUMIFS(Activites!$F$2:$F$189,Activites!$B$2:$B$189,$A83,Activites!$C$2:$C$189,"Professionnel")</f>
        <v>0</v>
      </c>
      <c r="N83" s="11" t="n">
        <f aca="false">SUMIFS(Activites!$F$2:$F$189,Activites!$B$2:$B$189,$A83,Activites!$C$2:$C$189,"Personnel")</f>
        <v>0</v>
      </c>
      <c r="O83" s="11" t="n">
        <f aca="false">SUMIFS(Activites!$F$2:$F$189,Activites!$B$2:$B$189,$A83,Activites!$C$2:$C$189,"Relationnel")</f>
        <v>21</v>
      </c>
      <c r="P83" s="11" t="n">
        <f aca="false">SUMIFS(Activites!$F$2:$F$189,Activites!$B$2:$B$189,$A83,Activites!$C$2:$C$189,"Loisirs et créativité")</f>
        <v>0</v>
      </c>
      <c r="Q83" s="10" t="n">
        <v>6.4</v>
      </c>
      <c r="R83" s="11"/>
      <c r="S83" s="11" t="n">
        <v>3</v>
      </c>
      <c r="T83" s="11" t="n">
        <v>2</v>
      </c>
      <c r="U83" s="11" t="n">
        <v>4</v>
      </c>
      <c r="V83" s="11" t="n">
        <v>3</v>
      </c>
      <c r="W83" s="11" t="n">
        <v>184</v>
      </c>
      <c r="X83" s="16" t="n">
        <v>10834</v>
      </c>
      <c r="Y83" s="10" t="n">
        <v>1.5</v>
      </c>
      <c r="Z83" s="11" t="n">
        <f aca="false">COUNTIFS(Reflexions!$A$2:$A$57,$A83)</f>
        <v>1</v>
      </c>
      <c r="AA83" s="17"/>
    </row>
    <row r="84" customFormat="false" ht="15" hidden="false" customHeight="false" outlineLevel="0" collapsed="false">
      <c r="A84" s="15" t="n">
        <v>46298</v>
      </c>
      <c r="B84" s="4" t="str">
        <f aca="false">INDEX({"Lundi","Mardi","Mercredi","Jeudi","Vendredi","Samedi","Dimanche"},WEEKDAY($A84,2))</f>
        <v>Samedi</v>
      </c>
      <c r="C84" s="4" t="s">
        <v>71</v>
      </c>
      <c r="D84" s="11" t="n">
        <f aca="false">COUNTIFS(Intentions!$B$2:$B$344,$A84)</f>
        <v>3</v>
      </c>
      <c r="E84" s="11" t="n">
        <f aca="false">COUNTIFS(Intentions!$B$2:$B$344,$A84,Intentions!$H$2:$H$344,"&lt;&gt;Prévu")</f>
        <v>3</v>
      </c>
      <c r="F84" s="11" t="n">
        <f aca="false">COUNTIFS(Intentions!$B$2:$B$344,$A84,Intentions!$H$2:$H$344,"Réalisé")+COUNTIFS(Intentions!$B$2:$B$344,$A84,Intentions!$H$2:$H$344,"Partiel")</f>
        <v>2</v>
      </c>
      <c r="G84" s="12" t="n">
        <f aca="false">IF(E84=0,"",SUMIFS(Intentions!$K$2:$K$344,Intentions!$B$2:$B$344,$A84)/E84)</f>
        <v>0.333333333333333</v>
      </c>
      <c r="H84" s="11" t="n">
        <f aca="false">SUMIFS(Intentions!$G$2:$G$344,Intentions!$B$2:$B$344,$A84)</f>
        <v>200</v>
      </c>
      <c r="I84" s="11" t="n">
        <f aca="false">SUMIFS(Activites!$F$2:$F$189,Activites!$B$2:$B$189,$A84)</f>
        <v>119</v>
      </c>
      <c r="J84" s="11" t="n">
        <f aca="false">SUMIFS(Activites!$F$2:$F$189,Activites!$B$2:$B$189,$A84,Activites!$C$2:$C$189,"Spirituel")</f>
        <v>9</v>
      </c>
      <c r="K84" s="11" t="n">
        <f aca="false">SUMIFS(Activites!$F$2:$F$189,Activites!$B$2:$B$189,$A84,Activites!$C$2:$C$189,"Physique")</f>
        <v>0</v>
      </c>
      <c r="L84" s="11" t="n">
        <f aca="false">SUMIFS(Activites!$F$2:$F$189,Activites!$B$2:$B$189,$A84,Activites!$C$2:$C$189,"Études")</f>
        <v>110</v>
      </c>
      <c r="M84" s="11" t="n">
        <f aca="false">SUMIFS(Activites!$F$2:$F$189,Activites!$B$2:$B$189,$A84,Activites!$C$2:$C$189,"Professionnel")</f>
        <v>0</v>
      </c>
      <c r="N84" s="11" t="n">
        <f aca="false">SUMIFS(Activites!$F$2:$F$189,Activites!$B$2:$B$189,$A84,Activites!$C$2:$C$189,"Personnel")</f>
        <v>0</v>
      </c>
      <c r="O84" s="11" t="n">
        <f aca="false">SUMIFS(Activites!$F$2:$F$189,Activites!$B$2:$B$189,$A84,Activites!$C$2:$C$189,"Relationnel")</f>
        <v>0</v>
      </c>
      <c r="P84" s="11" t="n">
        <f aca="false">SUMIFS(Activites!$F$2:$F$189,Activites!$B$2:$B$189,$A84,Activites!$C$2:$C$189,"Loisirs et créativité")</f>
        <v>0</v>
      </c>
      <c r="Q84" s="10" t="n">
        <v>5.5</v>
      </c>
      <c r="R84" s="11"/>
      <c r="S84" s="11" t="n">
        <v>1</v>
      </c>
      <c r="T84" s="11" t="n">
        <v>1</v>
      </c>
      <c r="U84" s="11" t="n">
        <v>4</v>
      </c>
      <c r="V84" s="11" t="n">
        <v>4</v>
      </c>
      <c r="W84" s="11" t="n">
        <v>294</v>
      </c>
      <c r="X84" s="16" t="n">
        <v>4055</v>
      </c>
      <c r="Y84" s="10" t="n">
        <v>1.7</v>
      </c>
      <c r="Z84" s="11" t="n">
        <f aca="false">COUNTIFS(Reflexions!$A$2:$A$57,$A84)</f>
        <v>1</v>
      </c>
      <c r="AA84" s="17"/>
    </row>
    <row r="85" customFormat="false" ht="15" hidden="false" customHeight="false" outlineLevel="0" collapsed="false">
      <c r="A85" s="15" t="n">
        <v>46299</v>
      </c>
      <c r="B85" s="4" t="str">
        <f aca="false">INDEX({"Lundi","Mardi","Mercredi","Jeudi","Vendredi","Samedi","Dimanche"},WEEKDAY($A85,2))</f>
        <v>Dimanche</v>
      </c>
      <c r="C85" s="4" t="s">
        <v>71</v>
      </c>
      <c r="D85" s="11" t="n">
        <f aca="false">COUNTIFS(Intentions!$B$2:$B$344,$A85)</f>
        <v>7</v>
      </c>
      <c r="E85" s="11" t="n">
        <f aca="false">COUNTIFS(Intentions!$B$2:$B$344,$A85,Intentions!$H$2:$H$344,"&lt;&gt;Prévu")</f>
        <v>7</v>
      </c>
      <c r="F85" s="11" t="n">
        <f aca="false">COUNTIFS(Intentions!$B$2:$B$344,$A85,Intentions!$H$2:$H$344,"Réalisé")+COUNTIFS(Intentions!$B$2:$B$344,$A85,Intentions!$H$2:$H$344,"Partiel")</f>
        <v>2</v>
      </c>
      <c r="G85" s="12" t="n">
        <f aca="false">IF(E85=0,"",SUMIFS(Intentions!$K$2:$K$344,Intentions!$B$2:$B$344,$A85)/E85)</f>
        <v>0.214285714285714</v>
      </c>
      <c r="H85" s="11" t="n">
        <f aca="false">SUMIFS(Intentions!$G$2:$G$344,Intentions!$B$2:$B$344,$A85)</f>
        <v>300</v>
      </c>
      <c r="I85" s="11" t="n">
        <f aca="false">SUMIFS(Activites!$F$2:$F$189,Activites!$B$2:$B$189,$A85)</f>
        <v>157</v>
      </c>
      <c r="J85" s="11" t="n">
        <f aca="false">SUMIFS(Activites!$F$2:$F$189,Activites!$B$2:$B$189,$A85,Activites!$C$2:$C$189,"Spirituel")</f>
        <v>0</v>
      </c>
      <c r="K85" s="11" t="n">
        <f aca="false">SUMIFS(Activites!$F$2:$F$189,Activites!$B$2:$B$189,$A85,Activites!$C$2:$C$189,"Physique")</f>
        <v>0</v>
      </c>
      <c r="L85" s="11" t="n">
        <f aca="false">SUMIFS(Activites!$F$2:$F$189,Activites!$B$2:$B$189,$A85,Activites!$C$2:$C$189,"Études")</f>
        <v>61</v>
      </c>
      <c r="M85" s="11" t="n">
        <f aca="false">SUMIFS(Activites!$F$2:$F$189,Activites!$B$2:$B$189,$A85,Activites!$C$2:$C$189,"Professionnel")</f>
        <v>36</v>
      </c>
      <c r="N85" s="11" t="n">
        <f aca="false">SUMIFS(Activites!$F$2:$F$189,Activites!$B$2:$B$189,$A85,Activites!$C$2:$C$189,"Personnel")</f>
        <v>0</v>
      </c>
      <c r="O85" s="11" t="n">
        <f aca="false">SUMIFS(Activites!$F$2:$F$189,Activites!$B$2:$B$189,$A85,Activites!$C$2:$C$189,"Relationnel")</f>
        <v>0</v>
      </c>
      <c r="P85" s="11" t="n">
        <f aca="false">SUMIFS(Activites!$F$2:$F$189,Activites!$B$2:$B$189,$A85,Activites!$C$2:$C$189,"Loisirs et créativité")</f>
        <v>60</v>
      </c>
      <c r="Q85" s="10" t="n">
        <v>7.8</v>
      </c>
      <c r="R85" s="11"/>
      <c r="S85" s="11" t="n">
        <v>4</v>
      </c>
      <c r="T85" s="11" t="n">
        <v>5</v>
      </c>
      <c r="U85" s="11" t="n">
        <v>2</v>
      </c>
      <c r="V85" s="11" t="n">
        <v>2</v>
      </c>
      <c r="W85" s="11" t="n">
        <v>200</v>
      </c>
      <c r="X85" s="16" t="n">
        <v>10359</v>
      </c>
      <c r="Y85" s="10" t="n">
        <v>2.2</v>
      </c>
      <c r="Z85" s="11" t="n">
        <f aca="false">COUNTIFS(Reflexions!$A$2:$A$57,$A85)</f>
        <v>1</v>
      </c>
      <c r="AA85" s="17"/>
    </row>
    <row r="86" customFormat="false" ht="15" hidden="false" customHeight="false" outlineLevel="0" collapsed="false">
      <c r="A86" s="15" t="n">
        <v>46300</v>
      </c>
      <c r="B86" s="4" t="str">
        <f aca="false">INDEX({"Lundi","Mardi","Mercredi","Jeudi","Vendredi","Samedi","Dimanche"},WEEKDAY($A86,2))</f>
        <v>Lundi</v>
      </c>
      <c r="C86" s="4" t="s">
        <v>71</v>
      </c>
      <c r="D86" s="11" t="n">
        <f aca="false">COUNTIFS(Intentions!$B$2:$B$344,$A86)</f>
        <v>5</v>
      </c>
      <c r="E86" s="11" t="n">
        <f aca="false">COUNTIFS(Intentions!$B$2:$B$344,$A86,Intentions!$H$2:$H$344,"&lt;&gt;Prévu")</f>
        <v>5</v>
      </c>
      <c r="F86" s="11" t="n">
        <f aca="false">COUNTIFS(Intentions!$B$2:$B$344,$A86,Intentions!$H$2:$H$344,"Réalisé")+COUNTIFS(Intentions!$B$2:$B$344,$A86,Intentions!$H$2:$H$344,"Partiel")</f>
        <v>2</v>
      </c>
      <c r="G86" s="12" t="n">
        <f aca="false">IF(E86=0,"",SUMIFS(Intentions!$K$2:$K$344,Intentions!$B$2:$B$344,$A86)/E86)</f>
        <v>0.3</v>
      </c>
      <c r="H86" s="11" t="n">
        <f aca="false">SUMIFS(Intentions!$G$2:$G$344,Intentions!$B$2:$B$344,$A86)</f>
        <v>180</v>
      </c>
      <c r="I86" s="11" t="n">
        <f aca="false">SUMIFS(Activites!$F$2:$F$189,Activites!$B$2:$B$189,$A86)</f>
        <v>80</v>
      </c>
      <c r="J86" s="11" t="n">
        <f aca="false">SUMIFS(Activites!$F$2:$F$189,Activites!$B$2:$B$189,$A86,Activites!$C$2:$C$189,"Spirituel")</f>
        <v>0</v>
      </c>
      <c r="K86" s="11" t="n">
        <f aca="false">SUMIFS(Activites!$F$2:$F$189,Activites!$B$2:$B$189,$A86,Activites!$C$2:$C$189,"Physique")</f>
        <v>0</v>
      </c>
      <c r="L86" s="11" t="n">
        <f aca="false">SUMIFS(Activites!$F$2:$F$189,Activites!$B$2:$B$189,$A86,Activites!$C$2:$C$189,"Études")</f>
        <v>42</v>
      </c>
      <c r="M86" s="11" t="n">
        <f aca="false">SUMIFS(Activites!$F$2:$F$189,Activites!$B$2:$B$189,$A86,Activites!$C$2:$C$189,"Professionnel")</f>
        <v>0</v>
      </c>
      <c r="N86" s="11" t="n">
        <f aca="false">SUMIFS(Activites!$F$2:$F$189,Activites!$B$2:$B$189,$A86,Activites!$C$2:$C$189,"Personnel")</f>
        <v>0</v>
      </c>
      <c r="O86" s="11" t="n">
        <f aca="false">SUMIFS(Activites!$F$2:$F$189,Activites!$B$2:$B$189,$A86,Activites!$C$2:$C$189,"Relationnel")</f>
        <v>38</v>
      </c>
      <c r="P86" s="11" t="n">
        <f aca="false">SUMIFS(Activites!$F$2:$F$189,Activites!$B$2:$B$189,$A86,Activites!$C$2:$C$189,"Loisirs et créativité")</f>
        <v>0</v>
      </c>
      <c r="Q86" s="10" t="n">
        <v>4.5</v>
      </c>
      <c r="R86" s="11"/>
      <c r="S86" s="11" t="n">
        <v>1</v>
      </c>
      <c r="T86" s="11" t="n">
        <v>2</v>
      </c>
      <c r="U86" s="11" t="n">
        <v>4</v>
      </c>
      <c r="V86" s="11" t="n">
        <v>1</v>
      </c>
      <c r="W86" s="11" t="n">
        <v>264</v>
      </c>
      <c r="X86" s="16" t="n">
        <v>6734</v>
      </c>
      <c r="Y86" s="10" t="n">
        <v>1.5</v>
      </c>
      <c r="Z86" s="11" t="n">
        <f aca="false">COUNTIFS(Reflexions!$A$2:$A$57,$A86)</f>
        <v>0</v>
      </c>
      <c r="AA86" s="17"/>
    </row>
    <row r="87" customFormat="false" ht="15" hidden="false" customHeight="false" outlineLevel="0" collapsed="false">
      <c r="A87" s="15" t="n">
        <v>46301</v>
      </c>
      <c r="B87" s="4" t="str">
        <f aca="false">INDEX({"Lundi","Mardi","Mercredi","Jeudi","Vendredi","Samedi","Dimanche"},WEEKDAY($A87,2))</f>
        <v>Mardi</v>
      </c>
      <c r="C87" s="4" t="s">
        <v>71</v>
      </c>
      <c r="D87" s="11" t="n">
        <f aca="false">COUNTIFS(Intentions!$B$2:$B$344,$A87)</f>
        <v>5</v>
      </c>
      <c r="E87" s="11" t="n">
        <f aca="false">COUNTIFS(Intentions!$B$2:$B$344,$A87,Intentions!$H$2:$H$344,"&lt;&gt;Prévu")</f>
        <v>5</v>
      </c>
      <c r="F87" s="11" t="n">
        <f aca="false">COUNTIFS(Intentions!$B$2:$B$344,$A87,Intentions!$H$2:$H$344,"Réalisé")+COUNTIFS(Intentions!$B$2:$B$344,$A87,Intentions!$H$2:$H$344,"Partiel")</f>
        <v>3</v>
      </c>
      <c r="G87" s="12" t="n">
        <f aca="false">IF(E87=0,"",SUMIFS(Intentions!$K$2:$K$344,Intentions!$B$2:$B$344,$A87)/E87)</f>
        <v>0.6</v>
      </c>
      <c r="H87" s="11" t="n">
        <f aca="false">SUMIFS(Intentions!$G$2:$G$344,Intentions!$B$2:$B$344,$A87)</f>
        <v>195</v>
      </c>
      <c r="I87" s="11" t="n">
        <f aca="false">SUMIFS(Activites!$F$2:$F$189,Activites!$B$2:$B$189,$A87)</f>
        <v>88</v>
      </c>
      <c r="J87" s="11" t="n">
        <f aca="false">SUMIFS(Activites!$F$2:$F$189,Activites!$B$2:$B$189,$A87,Activites!$C$2:$C$189,"Spirituel")</f>
        <v>0</v>
      </c>
      <c r="K87" s="11" t="n">
        <f aca="false">SUMIFS(Activites!$F$2:$F$189,Activites!$B$2:$B$189,$A87,Activites!$C$2:$C$189,"Physique")</f>
        <v>30</v>
      </c>
      <c r="L87" s="11" t="n">
        <f aca="false">SUMIFS(Activites!$F$2:$F$189,Activites!$B$2:$B$189,$A87,Activites!$C$2:$C$189,"Études")</f>
        <v>29</v>
      </c>
      <c r="M87" s="11" t="n">
        <f aca="false">SUMIFS(Activites!$F$2:$F$189,Activites!$B$2:$B$189,$A87,Activites!$C$2:$C$189,"Professionnel")</f>
        <v>0</v>
      </c>
      <c r="N87" s="11" t="n">
        <f aca="false">SUMIFS(Activites!$F$2:$F$189,Activites!$B$2:$B$189,$A87,Activites!$C$2:$C$189,"Personnel")</f>
        <v>29</v>
      </c>
      <c r="O87" s="11" t="n">
        <f aca="false">SUMIFS(Activites!$F$2:$F$189,Activites!$B$2:$B$189,$A87,Activites!$C$2:$C$189,"Relationnel")</f>
        <v>0</v>
      </c>
      <c r="P87" s="11" t="n">
        <f aca="false">SUMIFS(Activites!$F$2:$F$189,Activites!$B$2:$B$189,$A87,Activites!$C$2:$C$189,"Loisirs et créativité")</f>
        <v>0</v>
      </c>
      <c r="Q87" s="10" t="n">
        <v>8.2</v>
      </c>
      <c r="R87" s="11"/>
      <c r="S87" s="11" t="n">
        <v>5</v>
      </c>
      <c r="T87" s="11" t="n">
        <v>5</v>
      </c>
      <c r="U87" s="11" t="n">
        <v>4</v>
      </c>
      <c r="V87" s="11" t="n">
        <v>1</v>
      </c>
      <c r="W87" s="11" t="n">
        <v>164</v>
      </c>
      <c r="X87" s="16" t="n">
        <v>5252</v>
      </c>
      <c r="Y87" s="10" t="n">
        <v>2</v>
      </c>
      <c r="Z87" s="11" t="n">
        <f aca="false">COUNTIFS(Reflexions!$A$2:$A$57,$A87)</f>
        <v>1</v>
      </c>
      <c r="AA87" s="17" t="s">
        <v>77</v>
      </c>
    </row>
    <row r="88" customFormat="false" ht="15" hidden="false" customHeight="false" outlineLevel="0" collapsed="false">
      <c r="A88" s="15" t="n">
        <v>46302</v>
      </c>
      <c r="B88" s="4" t="str">
        <f aca="false">INDEX({"Lundi","Mardi","Mercredi","Jeudi","Vendredi","Samedi","Dimanche"},WEEKDAY($A88,2))</f>
        <v>Mercredi</v>
      </c>
      <c r="C88" s="4" t="s">
        <v>72</v>
      </c>
      <c r="D88" s="11" t="n">
        <f aca="false">COUNTIFS(Intentions!$B$2:$B$344,$A88)</f>
        <v>0</v>
      </c>
      <c r="E88" s="11" t="n">
        <f aca="false">COUNTIFS(Intentions!$B$2:$B$344,$A88,Intentions!$H$2:$H$344,"&lt;&gt;Prévu")</f>
        <v>0</v>
      </c>
      <c r="F88" s="11" t="n">
        <f aca="false">COUNTIFS(Intentions!$B$2:$B$344,$A88,Intentions!$H$2:$H$344,"Réalisé")+COUNTIFS(Intentions!$B$2:$B$344,$A88,Intentions!$H$2:$H$344,"Partiel")</f>
        <v>0</v>
      </c>
      <c r="G88" s="12" t="str">
        <f aca="false">IF(E88=0,"",SUMIFS(Intentions!$K$2:$K$344,Intentions!$B$2:$B$344,$A88)/E88)</f>
        <v/>
      </c>
      <c r="H88" s="11" t="n">
        <f aca="false">SUMIFS(Intentions!$G$2:$G$344,Intentions!$B$2:$B$344,$A88)</f>
        <v>0</v>
      </c>
      <c r="I88" s="11" t="n">
        <f aca="false">SUMIFS(Activites!$F$2:$F$189,Activites!$B$2:$B$189,$A88)</f>
        <v>0</v>
      </c>
      <c r="J88" s="11" t="n">
        <f aca="false">SUMIFS(Activites!$F$2:$F$189,Activites!$B$2:$B$189,$A88,Activites!$C$2:$C$189,"Spirituel")</f>
        <v>0</v>
      </c>
      <c r="K88" s="11" t="n">
        <f aca="false">SUMIFS(Activites!$F$2:$F$189,Activites!$B$2:$B$189,$A88,Activites!$C$2:$C$189,"Physique")</f>
        <v>0</v>
      </c>
      <c r="L88" s="11" t="n">
        <f aca="false">SUMIFS(Activites!$F$2:$F$189,Activites!$B$2:$B$189,$A88,Activites!$C$2:$C$189,"Études")</f>
        <v>0</v>
      </c>
      <c r="M88" s="11" t="n">
        <f aca="false">SUMIFS(Activites!$F$2:$F$189,Activites!$B$2:$B$189,$A88,Activites!$C$2:$C$189,"Professionnel")</f>
        <v>0</v>
      </c>
      <c r="N88" s="11" t="n">
        <f aca="false">SUMIFS(Activites!$F$2:$F$189,Activites!$B$2:$B$189,$A88,Activites!$C$2:$C$189,"Personnel")</f>
        <v>0</v>
      </c>
      <c r="O88" s="11" t="n">
        <f aca="false">SUMIFS(Activites!$F$2:$F$189,Activites!$B$2:$B$189,$A88,Activites!$C$2:$C$189,"Relationnel")</f>
        <v>0</v>
      </c>
      <c r="P88" s="11" t="n">
        <f aca="false">SUMIFS(Activites!$F$2:$F$189,Activites!$B$2:$B$189,$A88,Activites!$C$2:$C$189,"Loisirs et créativité")</f>
        <v>0</v>
      </c>
      <c r="Q88" s="10"/>
      <c r="R88" s="11"/>
      <c r="S88" s="11"/>
      <c r="T88" s="11"/>
      <c r="U88" s="11"/>
      <c r="V88" s="11"/>
      <c r="W88" s="11"/>
      <c r="X88" s="16"/>
      <c r="Y88" s="10"/>
      <c r="Z88" s="11" t="n">
        <f aca="false">COUNTIFS(Reflexions!$A$2:$A$57,$A88)</f>
        <v>0</v>
      </c>
      <c r="AA88" s="17"/>
    </row>
    <row r="89" customFormat="false" ht="15" hidden="false" customHeight="false" outlineLevel="0" collapsed="false">
      <c r="A89" s="15" t="n">
        <v>46303</v>
      </c>
      <c r="B89" s="4" t="str">
        <f aca="false">INDEX({"Lundi","Mardi","Mercredi","Jeudi","Vendredi","Samedi","Dimanche"},WEEKDAY($A89,2))</f>
        <v>Jeudi</v>
      </c>
      <c r="C89" s="4" t="s">
        <v>72</v>
      </c>
      <c r="D89" s="11" t="n">
        <f aca="false">COUNTIFS(Intentions!$B$2:$B$344,$A89)</f>
        <v>0</v>
      </c>
      <c r="E89" s="11" t="n">
        <f aca="false">COUNTIFS(Intentions!$B$2:$B$344,$A89,Intentions!$H$2:$H$344,"&lt;&gt;Prévu")</f>
        <v>0</v>
      </c>
      <c r="F89" s="11" t="n">
        <f aca="false">COUNTIFS(Intentions!$B$2:$B$344,$A89,Intentions!$H$2:$H$344,"Réalisé")+COUNTIFS(Intentions!$B$2:$B$344,$A89,Intentions!$H$2:$H$344,"Partiel")</f>
        <v>0</v>
      </c>
      <c r="G89" s="12" t="str">
        <f aca="false">IF(E89=0,"",SUMIFS(Intentions!$K$2:$K$344,Intentions!$B$2:$B$344,$A89)/E89)</f>
        <v/>
      </c>
      <c r="H89" s="11" t="n">
        <f aca="false">SUMIFS(Intentions!$G$2:$G$344,Intentions!$B$2:$B$344,$A89)</f>
        <v>0</v>
      </c>
      <c r="I89" s="11" t="n">
        <f aca="false">SUMIFS(Activites!$F$2:$F$189,Activites!$B$2:$B$189,$A89)</f>
        <v>0</v>
      </c>
      <c r="J89" s="11" t="n">
        <f aca="false">SUMIFS(Activites!$F$2:$F$189,Activites!$B$2:$B$189,$A89,Activites!$C$2:$C$189,"Spirituel")</f>
        <v>0</v>
      </c>
      <c r="K89" s="11" t="n">
        <f aca="false">SUMIFS(Activites!$F$2:$F$189,Activites!$B$2:$B$189,$A89,Activites!$C$2:$C$189,"Physique")</f>
        <v>0</v>
      </c>
      <c r="L89" s="11" t="n">
        <f aca="false">SUMIFS(Activites!$F$2:$F$189,Activites!$B$2:$B$189,$A89,Activites!$C$2:$C$189,"Études")</f>
        <v>0</v>
      </c>
      <c r="M89" s="11" t="n">
        <f aca="false">SUMIFS(Activites!$F$2:$F$189,Activites!$B$2:$B$189,$A89,Activites!$C$2:$C$189,"Professionnel")</f>
        <v>0</v>
      </c>
      <c r="N89" s="11" t="n">
        <f aca="false">SUMIFS(Activites!$F$2:$F$189,Activites!$B$2:$B$189,$A89,Activites!$C$2:$C$189,"Personnel")</f>
        <v>0</v>
      </c>
      <c r="O89" s="11" t="n">
        <f aca="false">SUMIFS(Activites!$F$2:$F$189,Activites!$B$2:$B$189,$A89,Activites!$C$2:$C$189,"Relationnel")</f>
        <v>0</v>
      </c>
      <c r="P89" s="11" t="n">
        <f aca="false">SUMIFS(Activites!$F$2:$F$189,Activites!$B$2:$B$189,$A89,Activites!$C$2:$C$189,"Loisirs et créativité")</f>
        <v>0</v>
      </c>
      <c r="Q89" s="10"/>
      <c r="R89" s="11"/>
      <c r="S89" s="11"/>
      <c r="T89" s="11"/>
      <c r="U89" s="11"/>
      <c r="V89" s="11"/>
      <c r="W89" s="11"/>
      <c r="X89" s="16"/>
      <c r="Y89" s="10"/>
      <c r="Z89" s="11" t="n">
        <f aca="false">COUNTIFS(Reflexions!$A$2:$A$57,$A89)</f>
        <v>0</v>
      </c>
      <c r="AA89" s="17"/>
    </row>
    <row r="90" customFormat="false" ht="15" hidden="false" customHeight="false" outlineLevel="0" collapsed="false">
      <c r="A90" s="15" t="n">
        <v>46304</v>
      </c>
      <c r="B90" s="4" t="str">
        <f aca="false">INDEX({"Lundi","Mardi","Mercredi","Jeudi","Vendredi","Samedi","Dimanche"},WEEKDAY($A90,2))</f>
        <v>Vendredi</v>
      </c>
      <c r="C90" s="4" t="s">
        <v>72</v>
      </c>
      <c r="D90" s="11" t="n">
        <f aca="false">COUNTIFS(Intentions!$B$2:$B$344,$A90)</f>
        <v>0</v>
      </c>
      <c r="E90" s="11" t="n">
        <f aca="false">COUNTIFS(Intentions!$B$2:$B$344,$A90,Intentions!$H$2:$H$344,"&lt;&gt;Prévu")</f>
        <v>0</v>
      </c>
      <c r="F90" s="11" t="n">
        <f aca="false">COUNTIFS(Intentions!$B$2:$B$344,$A90,Intentions!$H$2:$H$344,"Réalisé")+COUNTIFS(Intentions!$B$2:$B$344,$A90,Intentions!$H$2:$H$344,"Partiel")</f>
        <v>0</v>
      </c>
      <c r="G90" s="12" t="str">
        <f aca="false">IF(E90=0,"",SUMIFS(Intentions!$K$2:$K$344,Intentions!$B$2:$B$344,$A90)/E90)</f>
        <v/>
      </c>
      <c r="H90" s="11" t="n">
        <f aca="false">SUMIFS(Intentions!$G$2:$G$344,Intentions!$B$2:$B$344,$A90)</f>
        <v>0</v>
      </c>
      <c r="I90" s="11" t="n">
        <f aca="false">SUMIFS(Activites!$F$2:$F$189,Activites!$B$2:$B$189,$A90)</f>
        <v>0</v>
      </c>
      <c r="J90" s="11" t="n">
        <f aca="false">SUMIFS(Activites!$F$2:$F$189,Activites!$B$2:$B$189,$A90,Activites!$C$2:$C$189,"Spirituel")</f>
        <v>0</v>
      </c>
      <c r="K90" s="11" t="n">
        <f aca="false">SUMIFS(Activites!$F$2:$F$189,Activites!$B$2:$B$189,$A90,Activites!$C$2:$C$189,"Physique")</f>
        <v>0</v>
      </c>
      <c r="L90" s="11" t="n">
        <f aca="false">SUMIFS(Activites!$F$2:$F$189,Activites!$B$2:$B$189,$A90,Activites!$C$2:$C$189,"Études")</f>
        <v>0</v>
      </c>
      <c r="M90" s="11" t="n">
        <f aca="false">SUMIFS(Activites!$F$2:$F$189,Activites!$B$2:$B$189,$A90,Activites!$C$2:$C$189,"Professionnel")</f>
        <v>0</v>
      </c>
      <c r="N90" s="11" t="n">
        <f aca="false">SUMIFS(Activites!$F$2:$F$189,Activites!$B$2:$B$189,$A90,Activites!$C$2:$C$189,"Personnel")</f>
        <v>0</v>
      </c>
      <c r="O90" s="11" t="n">
        <f aca="false">SUMIFS(Activites!$F$2:$F$189,Activites!$B$2:$B$189,$A90,Activites!$C$2:$C$189,"Relationnel")</f>
        <v>0</v>
      </c>
      <c r="P90" s="11" t="n">
        <f aca="false">SUMIFS(Activites!$F$2:$F$189,Activites!$B$2:$B$189,$A90,Activites!$C$2:$C$189,"Loisirs et créativité")</f>
        <v>0</v>
      </c>
      <c r="Q90" s="10"/>
      <c r="R90" s="11"/>
      <c r="S90" s="11"/>
      <c r="T90" s="11"/>
      <c r="U90" s="11"/>
      <c r="V90" s="11"/>
      <c r="W90" s="11"/>
      <c r="X90" s="16"/>
      <c r="Y90" s="10"/>
      <c r="Z90" s="11" t="n">
        <f aca="false">COUNTIFS(Reflexions!$A$2:$A$57,$A90)</f>
        <v>0</v>
      </c>
      <c r="AA90" s="17"/>
    </row>
    <row r="91" customFormat="false" ht="15" hidden="false" customHeight="false" outlineLevel="0" collapsed="false">
      <c r="A91" s="15" t="n">
        <v>46305</v>
      </c>
      <c r="B91" s="4" t="str">
        <f aca="false">INDEX({"Lundi","Mardi","Mercredi","Jeudi","Vendredi","Samedi","Dimanche"},WEEKDAY($A91,2))</f>
        <v>Samedi</v>
      </c>
      <c r="C91" s="4" t="s">
        <v>72</v>
      </c>
      <c r="D91" s="11" t="n">
        <f aca="false">COUNTIFS(Intentions!$B$2:$B$344,$A91)</f>
        <v>0</v>
      </c>
      <c r="E91" s="11" t="n">
        <f aca="false">COUNTIFS(Intentions!$B$2:$B$344,$A91,Intentions!$H$2:$H$344,"&lt;&gt;Prévu")</f>
        <v>0</v>
      </c>
      <c r="F91" s="11" t="n">
        <f aca="false">COUNTIFS(Intentions!$B$2:$B$344,$A91,Intentions!$H$2:$H$344,"Réalisé")+COUNTIFS(Intentions!$B$2:$B$344,$A91,Intentions!$H$2:$H$344,"Partiel")</f>
        <v>0</v>
      </c>
      <c r="G91" s="12" t="str">
        <f aca="false">IF(E91=0,"",SUMIFS(Intentions!$K$2:$K$344,Intentions!$B$2:$B$344,$A91)/E91)</f>
        <v/>
      </c>
      <c r="H91" s="11" t="n">
        <f aca="false">SUMIFS(Intentions!$G$2:$G$344,Intentions!$B$2:$B$344,$A91)</f>
        <v>0</v>
      </c>
      <c r="I91" s="11" t="n">
        <f aca="false">SUMIFS(Activites!$F$2:$F$189,Activites!$B$2:$B$189,$A91)</f>
        <v>0</v>
      </c>
      <c r="J91" s="11" t="n">
        <f aca="false">SUMIFS(Activites!$F$2:$F$189,Activites!$B$2:$B$189,$A91,Activites!$C$2:$C$189,"Spirituel")</f>
        <v>0</v>
      </c>
      <c r="K91" s="11" t="n">
        <f aca="false">SUMIFS(Activites!$F$2:$F$189,Activites!$B$2:$B$189,$A91,Activites!$C$2:$C$189,"Physique")</f>
        <v>0</v>
      </c>
      <c r="L91" s="11" t="n">
        <f aca="false">SUMIFS(Activites!$F$2:$F$189,Activites!$B$2:$B$189,$A91,Activites!$C$2:$C$189,"Études")</f>
        <v>0</v>
      </c>
      <c r="M91" s="11" t="n">
        <f aca="false">SUMIFS(Activites!$F$2:$F$189,Activites!$B$2:$B$189,$A91,Activites!$C$2:$C$189,"Professionnel")</f>
        <v>0</v>
      </c>
      <c r="N91" s="11" t="n">
        <f aca="false">SUMIFS(Activites!$F$2:$F$189,Activites!$B$2:$B$189,$A91,Activites!$C$2:$C$189,"Personnel")</f>
        <v>0</v>
      </c>
      <c r="O91" s="11" t="n">
        <f aca="false">SUMIFS(Activites!$F$2:$F$189,Activites!$B$2:$B$189,$A91,Activites!$C$2:$C$189,"Relationnel")</f>
        <v>0</v>
      </c>
      <c r="P91" s="11" t="n">
        <f aca="false">SUMIFS(Activites!$F$2:$F$189,Activites!$B$2:$B$189,$A91,Activites!$C$2:$C$189,"Loisirs et créativité")</f>
        <v>0</v>
      </c>
      <c r="Q91" s="10"/>
      <c r="R91" s="11"/>
      <c r="S91" s="11"/>
      <c r="T91" s="11"/>
      <c r="U91" s="11"/>
      <c r="V91" s="11"/>
      <c r="W91" s="11"/>
      <c r="X91" s="16"/>
      <c r="Y91" s="10"/>
      <c r="Z91" s="11" t="n">
        <f aca="false">COUNTIFS(Reflexions!$A$2:$A$57,$A91)</f>
        <v>0</v>
      </c>
      <c r="AA91" s="17"/>
    </row>
  </sheetData>
  <autoFilter ref="A1:AA9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E00"/>
    <pageSetUpPr fitToPage="false"/>
  </sheetPr>
  <dimension ref="A1:T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4" min="3" style="0" width="11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19" min="9" style="0" width="11"/>
    <col collapsed="false" customWidth="true" hidden="false" outlineLevel="0" max="20" min="20" style="0" width="14"/>
  </cols>
  <sheetData>
    <row r="1" customFormat="false" ht="30" hidden="false" customHeight="true" outlineLevel="0" collapsed="false">
      <c r="A1" s="9" t="s">
        <v>78</v>
      </c>
      <c r="B1" s="9" t="s">
        <v>79</v>
      </c>
      <c r="C1" s="9" t="s">
        <v>4</v>
      </c>
      <c r="D1" s="9" t="s">
        <v>5</v>
      </c>
      <c r="E1" s="9" t="s">
        <v>22</v>
      </c>
      <c r="F1" s="9" t="s">
        <v>49</v>
      </c>
      <c r="G1" s="9" t="s">
        <v>50</v>
      </c>
      <c r="H1" s="9" t="s">
        <v>9</v>
      </c>
      <c r="I1" s="9" t="s">
        <v>80</v>
      </c>
      <c r="J1" s="9" t="s">
        <v>81</v>
      </c>
      <c r="K1" s="9" t="s">
        <v>82</v>
      </c>
      <c r="L1" s="9" t="s">
        <v>83</v>
      </c>
      <c r="M1" s="9" t="s">
        <v>84</v>
      </c>
      <c r="N1" s="9" t="s">
        <v>85</v>
      </c>
      <c r="O1" s="9" t="s">
        <v>86</v>
      </c>
      <c r="P1" s="9" t="s">
        <v>87</v>
      </c>
      <c r="Q1" s="9" t="s">
        <v>88</v>
      </c>
      <c r="R1" s="9" t="s">
        <v>89</v>
      </c>
      <c r="S1" s="9" t="s">
        <v>90</v>
      </c>
      <c r="T1" s="9" t="s">
        <v>91</v>
      </c>
    </row>
    <row r="2" customFormat="false" ht="15" hidden="false" customHeight="false" outlineLevel="0" collapsed="false">
      <c r="A2" s="15" t="n">
        <v>46216</v>
      </c>
      <c r="B2" s="15" t="n">
        <f aca="false">A2+6</f>
        <v>46222</v>
      </c>
      <c r="C2" s="11" t="n">
        <f aca="false">COUNTIFS(Quotidien!$A$2:$A$91,"&gt;="&amp;$A2,Quotidien!$A$2:$A$91,"&lt;="&amp;$B2,Quotidien!$C$2:$C$91,"Oui")</f>
        <v>6</v>
      </c>
      <c r="D2" s="12" t="n">
        <f aca="false">IFERROR(C2/COUNTIFS(Quotidien!$A$2:$A$91,"&gt;="&amp;$A2,Quotidien!$A$2:$A$91,"&lt;="&amp;$B2),"")</f>
        <v>0.857142857142857</v>
      </c>
      <c r="E2" s="11" t="n">
        <f aca="false">SUMIFS(Quotidien!$D$2:$D$91,Quotidien!$A$2:$A$91,"&gt;="&amp;$A2,Quotidien!$A$2:$A$91,"&lt;="&amp;$B2)</f>
        <v>21</v>
      </c>
      <c r="F2" s="11" t="n">
        <f aca="false">SUMIFS(Quotidien!$E$2:$E$91,Quotidien!$A$2:$A$91,"&gt;="&amp;$A2,Quotidien!$A$2:$A$91,"&lt;="&amp;$B2)</f>
        <v>21</v>
      </c>
      <c r="G2" s="11" t="n">
        <f aca="false">SUMIFS(Quotidien!$F$2:$F$91,Quotidien!$A$2:$A$91,"&gt;="&amp;$A2,Quotidien!$A$2:$A$91,"&lt;="&amp;$B2)</f>
        <v>12</v>
      </c>
      <c r="H2" s="12" t="n">
        <f aca="false">IF(F2=0,"",SUMIFS(Intentions!$K$2:$K$344,Intentions!$B$2:$B$344,"&gt;="&amp;$A2,Intentions!$B$2:$B$344,"&lt;="&amp;$B2)/F2)</f>
        <v>0.547619047619048</v>
      </c>
      <c r="I2" s="10" t="n">
        <f aca="false">SUMIFS(Quotidien!$I$2:$I$91,Quotidien!$A$2:$A$91,"&gt;="&amp;$A2,Quotidien!$A$2:$A$91,"&lt;="&amp;$B2)/60</f>
        <v>13</v>
      </c>
      <c r="J2" s="10" t="n">
        <f aca="false">SUMIFS(Quotidien!$J$2:$J$91,Quotidien!$A$2:$A$91,"&gt;="&amp;$A2,Quotidien!$A$2:$A$91,"&lt;="&amp;$B2)/60</f>
        <v>1.28333333333333</v>
      </c>
      <c r="K2" s="10" t="n">
        <f aca="false">SUMIFS(Quotidien!$K$2:$K$91,Quotidien!$A$2:$A$91,"&gt;="&amp;$A2,Quotidien!$A$2:$A$91,"&lt;="&amp;$B2)/60</f>
        <v>0.583333333333333</v>
      </c>
      <c r="L2" s="10" t="n">
        <f aca="false">SUMIFS(Quotidien!$L$2:$L$91,Quotidien!$A$2:$A$91,"&gt;="&amp;$A2,Quotidien!$A$2:$A$91,"&lt;="&amp;$B2)/60</f>
        <v>6.86666666666667</v>
      </c>
      <c r="M2" s="10" t="n">
        <f aca="false">SUMIFS(Quotidien!$M$2:$M$91,Quotidien!$A$2:$A$91,"&gt;="&amp;$A2,Quotidien!$A$2:$A$91,"&lt;="&amp;$B2)/60</f>
        <v>0</v>
      </c>
      <c r="N2" s="10" t="n">
        <f aca="false">SUMIFS(Quotidien!$N$2:$N$91,Quotidien!$A$2:$A$91,"&gt;="&amp;$A2,Quotidien!$A$2:$A$91,"&lt;="&amp;$B2)/60</f>
        <v>0.25</v>
      </c>
      <c r="O2" s="10" t="n">
        <f aca="false">SUMIFS(Quotidien!$O$2:$O$91,Quotidien!$A$2:$A$91,"&gt;="&amp;$A2,Quotidien!$A$2:$A$91,"&lt;="&amp;$B2)/60</f>
        <v>0</v>
      </c>
      <c r="P2" s="10" t="n">
        <f aca="false">SUMIFS(Quotidien!$P$2:$P$91,Quotidien!$A$2:$A$91,"&gt;="&amp;$A2,Quotidien!$A$2:$A$91,"&lt;="&amp;$B2)/60</f>
        <v>4.01666666666667</v>
      </c>
      <c r="Q2" s="10" t="n">
        <f aca="false">IFERROR(AVERAGEIFS(Quotidien!$Q$2:$Q$91,Quotidien!$A$2:$A$91,"&gt;="&amp;$A2,Quotidien!$A$2:$A$91,"&lt;="&amp;$B2),"")</f>
        <v>6.9</v>
      </c>
      <c r="R2" s="18" t="n">
        <f aca="false">IFERROR(AVERAGEIFS(Quotidien!$S$2:$S$91,Quotidien!$A$2:$A$91,"&gt;="&amp;$A2,Quotidien!$A$2:$A$91,"&lt;="&amp;$B2),"")</f>
        <v>3.5</v>
      </c>
      <c r="S2" s="18" t="n">
        <f aca="false">IFERROR(AVERAGEIFS(Quotidien!$U$2:$U$91,Quotidien!$A$2:$A$91,"&gt;="&amp;$A2,Quotidien!$A$2:$A$91,"&lt;="&amp;$B2),"")</f>
        <v>3.33333333333333</v>
      </c>
      <c r="T2" s="10" t="n">
        <f aca="false">IFERROR(AVERAGEIFS(Intentions!$J$2:$J$344,Intentions!$B$2:$B$344,"&gt;="&amp;$A2,Intentions!$B$2:$B$344,"&lt;="&amp;$B2),"")</f>
        <v>8.75</v>
      </c>
    </row>
    <row r="3" customFormat="false" ht="15" hidden="false" customHeight="false" outlineLevel="0" collapsed="false">
      <c r="A3" s="15" t="n">
        <v>46223</v>
      </c>
      <c r="B3" s="15" t="n">
        <f aca="false">A3+6</f>
        <v>46229</v>
      </c>
      <c r="C3" s="11" t="n">
        <f aca="false">COUNTIFS(Quotidien!$A$2:$A$91,"&gt;="&amp;$A3,Quotidien!$A$2:$A$91,"&lt;="&amp;$B3,Quotidien!$C$2:$C$91,"Oui")</f>
        <v>7</v>
      </c>
      <c r="D3" s="12" t="n">
        <f aca="false">IFERROR(C3/COUNTIFS(Quotidien!$A$2:$A$91,"&gt;="&amp;$A3,Quotidien!$A$2:$A$91,"&lt;="&amp;$B3),"")</f>
        <v>1</v>
      </c>
      <c r="E3" s="11" t="n">
        <f aca="false">SUMIFS(Quotidien!$D$2:$D$91,Quotidien!$A$2:$A$91,"&gt;="&amp;$A3,Quotidien!$A$2:$A$91,"&lt;="&amp;$B3)</f>
        <v>29</v>
      </c>
      <c r="F3" s="11" t="n">
        <f aca="false">SUMIFS(Quotidien!$E$2:$E$91,Quotidien!$A$2:$A$91,"&gt;="&amp;$A3,Quotidien!$A$2:$A$91,"&lt;="&amp;$B3)</f>
        <v>29</v>
      </c>
      <c r="G3" s="11" t="n">
        <f aca="false">SUMIFS(Quotidien!$F$2:$F$91,Quotidien!$A$2:$A$91,"&gt;="&amp;$A3,Quotidien!$A$2:$A$91,"&lt;="&amp;$B3)</f>
        <v>19</v>
      </c>
      <c r="H3" s="12" t="n">
        <f aca="false">IF(F3=0,"",SUMIFS(Intentions!$K$2:$K$344,Intentions!$B$2:$B$344,"&gt;="&amp;$A3,Intentions!$B$2:$B$344,"&lt;="&amp;$B3)/F3)</f>
        <v>0.620689655172414</v>
      </c>
      <c r="I3" s="10" t="n">
        <f aca="false">SUMIFS(Quotidien!$I$2:$I$91,Quotidien!$A$2:$A$91,"&gt;="&amp;$A3,Quotidien!$A$2:$A$91,"&lt;="&amp;$B3)/60</f>
        <v>21.5833333333333</v>
      </c>
      <c r="J3" s="10" t="n">
        <f aca="false">SUMIFS(Quotidien!$J$2:$J$91,Quotidien!$A$2:$A$91,"&gt;="&amp;$A3,Quotidien!$A$2:$A$91,"&lt;="&amp;$B3)/60</f>
        <v>1.36666666666667</v>
      </c>
      <c r="K3" s="10" t="n">
        <f aca="false">SUMIFS(Quotidien!$K$2:$K$91,Quotidien!$A$2:$A$91,"&gt;="&amp;$A3,Quotidien!$A$2:$A$91,"&lt;="&amp;$B3)/60</f>
        <v>0.433333333333333</v>
      </c>
      <c r="L3" s="10" t="n">
        <f aca="false">SUMIFS(Quotidien!$L$2:$L$91,Quotidien!$A$2:$A$91,"&gt;="&amp;$A3,Quotidien!$A$2:$A$91,"&lt;="&amp;$B3)/60</f>
        <v>6.68333333333333</v>
      </c>
      <c r="M3" s="10" t="n">
        <f aca="false">SUMIFS(Quotidien!$M$2:$M$91,Quotidien!$A$2:$A$91,"&gt;="&amp;$A3,Quotidien!$A$2:$A$91,"&lt;="&amp;$B3)/60</f>
        <v>4.8</v>
      </c>
      <c r="N3" s="10" t="n">
        <f aca="false">SUMIFS(Quotidien!$N$2:$N$91,Quotidien!$A$2:$A$91,"&gt;="&amp;$A3,Quotidien!$A$2:$A$91,"&lt;="&amp;$B3)/60</f>
        <v>0.4</v>
      </c>
      <c r="O3" s="10" t="n">
        <f aca="false">SUMIFS(Quotidien!$O$2:$O$91,Quotidien!$A$2:$A$91,"&gt;="&amp;$A3,Quotidien!$A$2:$A$91,"&lt;="&amp;$B3)/60</f>
        <v>1.33333333333333</v>
      </c>
      <c r="P3" s="10" t="n">
        <f aca="false">SUMIFS(Quotidien!$P$2:$P$91,Quotidien!$A$2:$A$91,"&gt;="&amp;$A3,Quotidien!$A$2:$A$91,"&lt;="&amp;$B3)/60</f>
        <v>6.56666666666667</v>
      </c>
      <c r="Q3" s="10" t="n">
        <f aca="false">IFERROR(AVERAGEIFS(Quotidien!$Q$2:$Q$91,Quotidien!$A$2:$A$91,"&gt;="&amp;$A3,Quotidien!$A$2:$A$91,"&lt;="&amp;$B3),"")</f>
        <v>6.57142857142857</v>
      </c>
      <c r="R3" s="18" t="n">
        <f aca="false">IFERROR(AVERAGEIFS(Quotidien!$S$2:$S$91,Quotidien!$A$2:$A$91,"&gt;="&amp;$A3,Quotidien!$A$2:$A$91,"&lt;="&amp;$B3),"")</f>
        <v>3.28571428571429</v>
      </c>
      <c r="S3" s="18" t="n">
        <f aca="false">IFERROR(AVERAGEIFS(Quotidien!$U$2:$U$91,Quotidien!$A$2:$A$91,"&gt;="&amp;$A3,Quotidien!$A$2:$A$91,"&lt;="&amp;$B3),"")</f>
        <v>3.28571428571429</v>
      </c>
      <c r="T3" s="10" t="n">
        <f aca="false">IFERROR(AVERAGEIFS(Intentions!$J$2:$J$344,Intentions!$B$2:$B$344,"&gt;="&amp;$A3,Intentions!$B$2:$B$344,"&lt;="&amp;$B3),"")</f>
        <v>9.21052631578947</v>
      </c>
    </row>
    <row r="4" customFormat="false" ht="15" hidden="false" customHeight="false" outlineLevel="0" collapsed="false">
      <c r="A4" s="15" t="n">
        <v>46230</v>
      </c>
      <c r="B4" s="15" t="n">
        <f aca="false">A4+6</f>
        <v>46236</v>
      </c>
      <c r="C4" s="11" t="n">
        <f aca="false">COUNTIFS(Quotidien!$A$2:$A$91,"&gt;="&amp;$A4,Quotidien!$A$2:$A$91,"&lt;="&amp;$B4,Quotidien!$C$2:$C$91,"Oui")</f>
        <v>7</v>
      </c>
      <c r="D4" s="12" t="n">
        <f aca="false">IFERROR(C4/COUNTIFS(Quotidien!$A$2:$A$91,"&gt;="&amp;$A4,Quotidien!$A$2:$A$91,"&lt;="&amp;$B4),"")</f>
        <v>1</v>
      </c>
      <c r="E4" s="11" t="n">
        <f aca="false">SUMIFS(Quotidien!$D$2:$D$91,Quotidien!$A$2:$A$91,"&gt;="&amp;$A4,Quotidien!$A$2:$A$91,"&lt;="&amp;$B4)</f>
        <v>34</v>
      </c>
      <c r="F4" s="11" t="n">
        <f aca="false">SUMIFS(Quotidien!$E$2:$E$91,Quotidien!$A$2:$A$91,"&gt;="&amp;$A4,Quotidien!$A$2:$A$91,"&lt;="&amp;$B4)</f>
        <v>34</v>
      </c>
      <c r="G4" s="11" t="n">
        <f aca="false">SUMIFS(Quotidien!$F$2:$F$91,Quotidien!$A$2:$A$91,"&gt;="&amp;$A4,Quotidien!$A$2:$A$91,"&lt;="&amp;$B4)</f>
        <v>14</v>
      </c>
      <c r="H4" s="12" t="n">
        <f aca="false">IF(F4=0,"",SUMIFS(Intentions!$K$2:$K$344,Intentions!$B$2:$B$344,"&gt;="&amp;$A4,Intentions!$B$2:$B$344,"&lt;="&amp;$B4)/F4)</f>
        <v>0.382352941176471</v>
      </c>
      <c r="I4" s="10" t="n">
        <f aca="false">SUMIFS(Quotidien!$I$2:$I$91,Quotidien!$A$2:$A$91,"&gt;="&amp;$A4,Quotidien!$A$2:$A$91,"&lt;="&amp;$B4)/60</f>
        <v>13.4666666666667</v>
      </c>
      <c r="J4" s="10" t="n">
        <f aca="false">SUMIFS(Quotidien!$J$2:$J$91,Quotidien!$A$2:$A$91,"&gt;="&amp;$A4,Quotidien!$A$2:$A$91,"&lt;="&amp;$B4)/60</f>
        <v>1.26666666666667</v>
      </c>
      <c r="K4" s="10" t="n">
        <f aca="false">SUMIFS(Quotidien!$K$2:$K$91,Quotidien!$A$2:$A$91,"&gt;="&amp;$A4,Quotidien!$A$2:$A$91,"&lt;="&amp;$B4)/60</f>
        <v>1.36666666666667</v>
      </c>
      <c r="L4" s="10" t="n">
        <f aca="false">SUMIFS(Quotidien!$L$2:$L$91,Quotidien!$A$2:$A$91,"&gt;="&amp;$A4,Quotidien!$A$2:$A$91,"&lt;="&amp;$B4)/60</f>
        <v>5.9</v>
      </c>
      <c r="M4" s="10" t="n">
        <f aca="false">SUMIFS(Quotidien!$M$2:$M$91,Quotidien!$A$2:$A$91,"&gt;="&amp;$A4,Quotidien!$A$2:$A$91,"&lt;="&amp;$B4)/60</f>
        <v>1.43333333333333</v>
      </c>
      <c r="N4" s="10" t="n">
        <f aca="false">SUMIFS(Quotidien!$N$2:$N$91,Quotidien!$A$2:$A$91,"&gt;="&amp;$A4,Quotidien!$A$2:$A$91,"&lt;="&amp;$B4)/60</f>
        <v>0</v>
      </c>
      <c r="O4" s="10" t="n">
        <f aca="false">SUMIFS(Quotidien!$O$2:$O$91,Quotidien!$A$2:$A$91,"&gt;="&amp;$A4,Quotidien!$A$2:$A$91,"&lt;="&amp;$B4)/60</f>
        <v>0.5</v>
      </c>
      <c r="P4" s="10" t="n">
        <f aca="false">SUMIFS(Quotidien!$P$2:$P$91,Quotidien!$A$2:$A$91,"&gt;="&amp;$A4,Quotidien!$A$2:$A$91,"&lt;="&amp;$B4)/60</f>
        <v>3</v>
      </c>
      <c r="Q4" s="10" t="n">
        <f aca="false">IFERROR(AVERAGEIFS(Quotidien!$Q$2:$Q$91,Quotidien!$A$2:$A$91,"&gt;="&amp;$A4,Quotidien!$A$2:$A$91,"&lt;="&amp;$B4),"")</f>
        <v>6.47142857142857</v>
      </c>
      <c r="R4" s="18" t="n">
        <f aca="false">IFERROR(AVERAGEIFS(Quotidien!$S$2:$S$91,Quotidien!$A$2:$A$91,"&gt;="&amp;$A4,Quotidien!$A$2:$A$91,"&lt;="&amp;$B4),"")</f>
        <v>3.28571428571429</v>
      </c>
      <c r="S4" s="18" t="n">
        <f aca="false">IFERROR(AVERAGEIFS(Quotidien!$U$2:$U$91,Quotidien!$A$2:$A$91,"&gt;="&amp;$A4,Quotidien!$A$2:$A$91,"&lt;="&amp;$B4),"")</f>
        <v>3.28571428571429</v>
      </c>
      <c r="T4" s="10" t="n">
        <f aca="false">IFERROR(AVERAGEIFS(Intentions!$J$2:$J$344,Intentions!$B$2:$B$344,"&gt;="&amp;$A4,Intentions!$B$2:$B$344,"&lt;="&amp;$B4),"")</f>
        <v>4.85714285714286</v>
      </c>
    </row>
    <row r="5" customFormat="false" ht="15" hidden="false" customHeight="false" outlineLevel="0" collapsed="false">
      <c r="A5" s="15" t="n">
        <v>46237</v>
      </c>
      <c r="B5" s="15" t="n">
        <f aca="false">A5+6</f>
        <v>46243</v>
      </c>
      <c r="C5" s="11" t="n">
        <f aca="false">COUNTIFS(Quotidien!$A$2:$A$91,"&gt;="&amp;$A5,Quotidien!$A$2:$A$91,"&lt;="&amp;$B5,Quotidien!$C$2:$C$91,"Oui")</f>
        <v>7</v>
      </c>
      <c r="D5" s="12" t="n">
        <f aca="false">IFERROR(C5/COUNTIFS(Quotidien!$A$2:$A$91,"&gt;="&amp;$A5,Quotidien!$A$2:$A$91,"&lt;="&amp;$B5),"")</f>
        <v>1</v>
      </c>
      <c r="E5" s="11" t="n">
        <f aca="false">SUMIFS(Quotidien!$D$2:$D$91,Quotidien!$A$2:$A$91,"&gt;="&amp;$A5,Quotidien!$A$2:$A$91,"&lt;="&amp;$B5)</f>
        <v>29</v>
      </c>
      <c r="F5" s="11" t="n">
        <f aca="false">SUMIFS(Quotidien!$E$2:$E$91,Quotidien!$A$2:$A$91,"&gt;="&amp;$A5,Quotidien!$A$2:$A$91,"&lt;="&amp;$B5)</f>
        <v>29</v>
      </c>
      <c r="G5" s="11" t="n">
        <f aca="false">SUMIFS(Quotidien!$F$2:$F$91,Quotidien!$A$2:$A$91,"&gt;="&amp;$A5,Quotidien!$A$2:$A$91,"&lt;="&amp;$B5)</f>
        <v>11</v>
      </c>
      <c r="H5" s="12" t="n">
        <f aca="false">IF(F5=0,"",SUMIFS(Intentions!$K$2:$K$344,Intentions!$B$2:$B$344,"&gt;="&amp;$A5,Intentions!$B$2:$B$344,"&lt;="&amp;$B5)/F5)</f>
        <v>0.362068965517241</v>
      </c>
      <c r="I5" s="10" t="n">
        <f aca="false">SUMIFS(Quotidien!$I$2:$I$91,Quotidien!$A$2:$A$91,"&gt;="&amp;$A5,Quotidien!$A$2:$A$91,"&lt;="&amp;$B5)/60</f>
        <v>10</v>
      </c>
      <c r="J5" s="10" t="n">
        <f aca="false">SUMIFS(Quotidien!$J$2:$J$91,Quotidien!$A$2:$A$91,"&gt;="&amp;$A5,Quotidien!$A$2:$A$91,"&lt;="&amp;$B5)/60</f>
        <v>0.7</v>
      </c>
      <c r="K5" s="10" t="n">
        <f aca="false">SUMIFS(Quotidien!$K$2:$K$91,Quotidien!$A$2:$A$91,"&gt;="&amp;$A5,Quotidien!$A$2:$A$91,"&lt;="&amp;$B5)/60</f>
        <v>0.466666666666667</v>
      </c>
      <c r="L5" s="10" t="n">
        <f aca="false">SUMIFS(Quotidien!$L$2:$L$91,Quotidien!$A$2:$A$91,"&gt;="&amp;$A5,Quotidien!$A$2:$A$91,"&lt;="&amp;$B5)/60</f>
        <v>6.46666666666667</v>
      </c>
      <c r="M5" s="10" t="n">
        <f aca="false">SUMIFS(Quotidien!$M$2:$M$91,Quotidien!$A$2:$A$91,"&gt;="&amp;$A5,Quotidien!$A$2:$A$91,"&lt;="&amp;$B5)/60</f>
        <v>1.15</v>
      </c>
      <c r="N5" s="10" t="n">
        <f aca="false">SUMIFS(Quotidien!$N$2:$N$91,Quotidien!$A$2:$A$91,"&gt;="&amp;$A5,Quotidien!$A$2:$A$91,"&lt;="&amp;$B5)/60</f>
        <v>0.433333333333333</v>
      </c>
      <c r="O5" s="10" t="n">
        <f aca="false">SUMIFS(Quotidien!$O$2:$O$91,Quotidien!$A$2:$A$91,"&gt;="&amp;$A5,Quotidien!$A$2:$A$91,"&lt;="&amp;$B5)/60</f>
        <v>0.366666666666667</v>
      </c>
      <c r="P5" s="10" t="n">
        <f aca="false">SUMIFS(Quotidien!$P$2:$P$91,Quotidien!$A$2:$A$91,"&gt;="&amp;$A5,Quotidien!$A$2:$A$91,"&lt;="&amp;$B5)/60</f>
        <v>0.416666666666667</v>
      </c>
      <c r="Q5" s="10" t="n">
        <f aca="false">IFERROR(AVERAGEIFS(Quotidien!$Q$2:$Q$91,Quotidien!$A$2:$A$91,"&gt;="&amp;$A5,Quotidien!$A$2:$A$91,"&lt;="&amp;$B5),"")</f>
        <v>7.01428571428571</v>
      </c>
      <c r="R5" s="18" t="n">
        <f aca="false">IFERROR(AVERAGEIFS(Quotidien!$S$2:$S$91,Quotidien!$A$2:$A$91,"&gt;="&amp;$A5,Quotidien!$A$2:$A$91,"&lt;="&amp;$B5),"")</f>
        <v>3</v>
      </c>
      <c r="S5" s="18" t="n">
        <f aca="false">IFERROR(AVERAGEIFS(Quotidien!$U$2:$U$91,Quotidien!$A$2:$A$91,"&gt;="&amp;$A5,Quotidien!$A$2:$A$91,"&lt;="&amp;$B5),"")</f>
        <v>2.85714285714286</v>
      </c>
      <c r="T5" s="10" t="n">
        <f aca="false">IFERROR(AVERAGEIFS(Intentions!$J$2:$J$344,Intentions!$B$2:$B$344,"&gt;="&amp;$A5,Intentions!$B$2:$B$344,"&lt;="&amp;$B5),"")</f>
        <v>8.63636363636364</v>
      </c>
    </row>
    <row r="6" customFormat="false" ht="15" hidden="false" customHeight="false" outlineLevel="0" collapsed="false">
      <c r="A6" s="15" t="n">
        <v>46244</v>
      </c>
      <c r="B6" s="15" t="n">
        <f aca="false">A6+6</f>
        <v>46250</v>
      </c>
      <c r="C6" s="11" t="n">
        <f aca="false">COUNTIFS(Quotidien!$A$2:$A$91,"&gt;="&amp;$A6,Quotidien!$A$2:$A$91,"&lt;="&amp;$B6,Quotidien!$C$2:$C$91,"Oui")</f>
        <v>6</v>
      </c>
      <c r="D6" s="12" t="n">
        <f aca="false">IFERROR(C6/COUNTIFS(Quotidien!$A$2:$A$91,"&gt;="&amp;$A6,Quotidien!$A$2:$A$91,"&lt;="&amp;$B6),"")</f>
        <v>0.857142857142857</v>
      </c>
      <c r="E6" s="11" t="n">
        <f aca="false">SUMIFS(Quotidien!$D$2:$D$91,Quotidien!$A$2:$A$91,"&gt;="&amp;$A6,Quotidien!$A$2:$A$91,"&lt;="&amp;$B6)</f>
        <v>33</v>
      </c>
      <c r="F6" s="11" t="n">
        <f aca="false">SUMIFS(Quotidien!$E$2:$E$91,Quotidien!$A$2:$A$91,"&gt;="&amp;$A6,Quotidien!$A$2:$A$91,"&lt;="&amp;$B6)</f>
        <v>33</v>
      </c>
      <c r="G6" s="11" t="n">
        <f aca="false">SUMIFS(Quotidien!$F$2:$F$91,Quotidien!$A$2:$A$91,"&gt;="&amp;$A6,Quotidien!$A$2:$A$91,"&lt;="&amp;$B6)</f>
        <v>14</v>
      </c>
      <c r="H6" s="12" t="n">
        <f aca="false">IF(F6=0,"",SUMIFS(Intentions!$K$2:$K$344,Intentions!$B$2:$B$344,"&gt;="&amp;$A6,Intentions!$B$2:$B$344,"&lt;="&amp;$B6)/F6)</f>
        <v>0.393939393939394</v>
      </c>
      <c r="I6" s="10" t="n">
        <f aca="false">SUMIFS(Quotidien!$I$2:$I$91,Quotidien!$A$2:$A$91,"&gt;="&amp;$A6,Quotidien!$A$2:$A$91,"&lt;="&amp;$B6)/60</f>
        <v>9.38333333333333</v>
      </c>
      <c r="J6" s="10" t="n">
        <f aca="false">SUMIFS(Quotidien!$J$2:$J$91,Quotidien!$A$2:$A$91,"&gt;="&amp;$A6,Quotidien!$A$2:$A$91,"&lt;="&amp;$B6)/60</f>
        <v>1.43333333333333</v>
      </c>
      <c r="K6" s="10" t="n">
        <f aca="false">SUMIFS(Quotidien!$K$2:$K$91,Quotidien!$A$2:$A$91,"&gt;="&amp;$A6,Quotidien!$A$2:$A$91,"&lt;="&amp;$B6)/60</f>
        <v>0.4</v>
      </c>
      <c r="L6" s="10" t="n">
        <f aca="false">SUMIFS(Quotidien!$L$2:$L$91,Quotidien!$A$2:$A$91,"&gt;="&amp;$A6,Quotidien!$A$2:$A$91,"&lt;="&amp;$B6)/60</f>
        <v>2.93333333333333</v>
      </c>
      <c r="M6" s="10" t="n">
        <f aca="false">SUMIFS(Quotidien!$M$2:$M$91,Quotidien!$A$2:$A$91,"&gt;="&amp;$A6,Quotidien!$A$2:$A$91,"&lt;="&amp;$B6)/60</f>
        <v>1.03333333333333</v>
      </c>
      <c r="N6" s="10" t="n">
        <f aca="false">SUMIFS(Quotidien!$N$2:$N$91,Quotidien!$A$2:$A$91,"&gt;="&amp;$A6,Quotidien!$A$2:$A$91,"&lt;="&amp;$B6)/60</f>
        <v>0.433333333333333</v>
      </c>
      <c r="O6" s="10" t="n">
        <f aca="false">SUMIFS(Quotidien!$O$2:$O$91,Quotidien!$A$2:$A$91,"&gt;="&amp;$A6,Quotidien!$A$2:$A$91,"&lt;="&amp;$B6)/60</f>
        <v>1.15</v>
      </c>
      <c r="P6" s="10" t="n">
        <f aca="false">SUMIFS(Quotidien!$P$2:$P$91,Quotidien!$A$2:$A$91,"&gt;="&amp;$A6,Quotidien!$A$2:$A$91,"&lt;="&amp;$B6)/60</f>
        <v>2</v>
      </c>
      <c r="Q6" s="10" t="n">
        <f aca="false">IFERROR(AVERAGEIFS(Quotidien!$Q$2:$Q$91,Quotidien!$A$2:$A$91,"&gt;="&amp;$A6,Quotidien!$A$2:$A$91,"&lt;="&amp;$B6),"")</f>
        <v>7.3</v>
      </c>
      <c r="R6" s="18" t="n">
        <f aca="false">IFERROR(AVERAGEIFS(Quotidien!$S$2:$S$91,Quotidien!$A$2:$A$91,"&gt;="&amp;$A6,Quotidien!$A$2:$A$91,"&lt;="&amp;$B6),"")</f>
        <v>3.16666666666667</v>
      </c>
      <c r="S6" s="18" t="n">
        <f aca="false">IFERROR(AVERAGEIFS(Quotidien!$U$2:$U$91,Quotidien!$A$2:$A$91,"&gt;="&amp;$A6,Quotidien!$A$2:$A$91,"&lt;="&amp;$B6),"")</f>
        <v>3.5</v>
      </c>
      <c r="T6" s="10" t="n">
        <f aca="false">IFERROR(AVERAGEIFS(Intentions!$J$2:$J$344,Intentions!$B$2:$B$344,"&gt;="&amp;$A6,Intentions!$B$2:$B$344,"&lt;="&amp;$B6),"")</f>
        <v>0.571428571428571</v>
      </c>
    </row>
    <row r="7" customFormat="false" ht="15" hidden="false" customHeight="false" outlineLevel="0" collapsed="false">
      <c r="A7" s="15" t="n">
        <v>46251</v>
      </c>
      <c r="B7" s="15" t="n">
        <f aca="false">A7+6</f>
        <v>46257</v>
      </c>
      <c r="C7" s="11" t="n">
        <f aca="false">COUNTIFS(Quotidien!$A$2:$A$91,"&gt;="&amp;$A7,Quotidien!$A$2:$A$91,"&lt;="&amp;$B7,Quotidien!$C$2:$C$91,"Oui")</f>
        <v>7</v>
      </c>
      <c r="D7" s="12" t="n">
        <f aca="false">IFERROR(C7/COUNTIFS(Quotidien!$A$2:$A$91,"&gt;="&amp;$A7,Quotidien!$A$2:$A$91,"&lt;="&amp;$B7),"")</f>
        <v>1</v>
      </c>
      <c r="E7" s="11" t="n">
        <f aca="false">SUMIFS(Quotidien!$D$2:$D$91,Quotidien!$A$2:$A$91,"&gt;="&amp;$A7,Quotidien!$A$2:$A$91,"&lt;="&amp;$B7)</f>
        <v>30</v>
      </c>
      <c r="F7" s="11" t="n">
        <f aca="false">SUMIFS(Quotidien!$E$2:$E$91,Quotidien!$A$2:$A$91,"&gt;="&amp;$A7,Quotidien!$A$2:$A$91,"&lt;="&amp;$B7)</f>
        <v>30</v>
      </c>
      <c r="G7" s="11" t="n">
        <f aca="false">SUMIFS(Quotidien!$F$2:$F$91,Quotidien!$A$2:$A$91,"&gt;="&amp;$A7,Quotidien!$A$2:$A$91,"&lt;="&amp;$B7)</f>
        <v>14</v>
      </c>
      <c r="H7" s="12" t="n">
        <f aca="false">IF(F7=0,"",SUMIFS(Intentions!$K$2:$K$344,Intentions!$B$2:$B$344,"&gt;="&amp;$A7,Intentions!$B$2:$B$344,"&lt;="&amp;$B7)/F7)</f>
        <v>0.433333333333333</v>
      </c>
      <c r="I7" s="10" t="n">
        <f aca="false">SUMIFS(Quotidien!$I$2:$I$91,Quotidien!$A$2:$A$91,"&gt;="&amp;$A7,Quotidien!$A$2:$A$91,"&lt;="&amp;$B7)/60</f>
        <v>13.2666666666667</v>
      </c>
      <c r="J7" s="10" t="n">
        <f aca="false">SUMIFS(Quotidien!$J$2:$J$91,Quotidien!$A$2:$A$91,"&gt;="&amp;$A7,Quotidien!$A$2:$A$91,"&lt;="&amp;$B7)/60</f>
        <v>0.716666666666667</v>
      </c>
      <c r="K7" s="10" t="n">
        <f aca="false">SUMIFS(Quotidien!$K$2:$K$91,Quotidien!$A$2:$A$91,"&gt;="&amp;$A7,Quotidien!$A$2:$A$91,"&lt;="&amp;$B7)/60</f>
        <v>1.11666666666667</v>
      </c>
      <c r="L7" s="10" t="n">
        <f aca="false">SUMIFS(Quotidien!$L$2:$L$91,Quotidien!$A$2:$A$91,"&gt;="&amp;$A7,Quotidien!$A$2:$A$91,"&lt;="&amp;$B7)/60</f>
        <v>7.23333333333333</v>
      </c>
      <c r="M7" s="10" t="n">
        <f aca="false">SUMIFS(Quotidien!$M$2:$M$91,Quotidien!$A$2:$A$91,"&gt;="&amp;$A7,Quotidien!$A$2:$A$91,"&lt;="&amp;$B7)/60</f>
        <v>0.966666666666667</v>
      </c>
      <c r="N7" s="10" t="n">
        <f aca="false">SUMIFS(Quotidien!$N$2:$N$91,Quotidien!$A$2:$A$91,"&gt;="&amp;$A7,Quotidien!$A$2:$A$91,"&lt;="&amp;$B7)/60</f>
        <v>0</v>
      </c>
      <c r="O7" s="10" t="n">
        <f aca="false">SUMIFS(Quotidien!$O$2:$O$91,Quotidien!$A$2:$A$91,"&gt;="&amp;$A7,Quotidien!$A$2:$A$91,"&lt;="&amp;$B7)/60</f>
        <v>0.75</v>
      </c>
      <c r="P7" s="10" t="n">
        <f aca="false">SUMIFS(Quotidien!$P$2:$P$91,Quotidien!$A$2:$A$91,"&gt;="&amp;$A7,Quotidien!$A$2:$A$91,"&lt;="&amp;$B7)/60</f>
        <v>2.48333333333333</v>
      </c>
      <c r="Q7" s="10" t="n">
        <f aca="false">IFERROR(AVERAGEIFS(Quotidien!$Q$2:$Q$91,Quotidien!$A$2:$A$91,"&gt;="&amp;$A7,Quotidien!$A$2:$A$91,"&lt;="&amp;$B7),"")</f>
        <v>7.15714285714286</v>
      </c>
      <c r="R7" s="18" t="n">
        <f aca="false">IFERROR(AVERAGEIFS(Quotidien!$S$2:$S$91,Quotidien!$A$2:$A$91,"&gt;="&amp;$A7,Quotidien!$A$2:$A$91,"&lt;="&amp;$B7),"")</f>
        <v>3</v>
      </c>
      <c r="S7" s="18" t="n">
        <f aca="false">IFERROR(AVERAGEIFS(Quotidien!$U$2:$U$91,Quotidien!$A$2:$A$91,"&gt;="&amp;$A7,Quotidien!$A$2:$A$91,"&lt;="&amp;$B7),"")</f>
        <v>3.14285714285714</v>
      </c>
      <c r="T7" s="10" t="n">
        <f aca="false">IFERROR(AVERAGEIFS(Intentions!$J$2:$J$344,Intentions!$B$2:$B$344,"&gt;="&amp;$A7,Intentions!$B$2:$B$344,"&lt;="&amp;$B7),"")</f>
        <v>6.14285714285714</v>
      </c>
    </row>
    <row r="8" customFormat="false" ht="15" hidden="false" customHeight="false" outlineLevel="0" collapsed="false">
      <c r="A8" s="15" t="n">
        <v>46258</v>
      </c>
      <c r="B8" s="15" t="n">
        <f aca="false">A8+6</f>
        <v>46264</v>
      </c>
      <c r="C8" s="11" t="n">
        <f aca="false">COUNTIFS(Quotidien!$A$2:$A$91,"&gt;="&amp;$A8,Quotidien!$A$2:$A$91,"&lt;="&amp;$B8,Quotidien!$C$2:$C$91,"Oui")</f>
        <v>6</v>
      </c>
      <c r="D8" s="12" t="n">
        <f aca="false">IFERROR(C8/COUNTIFS(Quotidien!$A$2:$A$91,"&gt;="&amp;$A8,Quotidien!$A$2:$A$91,"&lt;="&amp;$B8),"")</f>
        <v>0.857142857142857</v>
      </c>
      <c r="E8" s="11" t="n">
        <f aca="false">SUMIFS(Quotidien!$D$2:$D$91,Quotidien!$A$2:$A$91,"&gt;="&amp;$A8,Quotidien!$A$2:$A$91,"&lt;="&amp;$B8)</f>
        <v>22</v>
      </c>
      <c r="F8" s="11" t="n">
        <f aca="false">SUMIFS(Quotidien!$E$2:$E$91,Quotidien!$A$2:$A$91,"&gt;="&amp;$A8,Quotidien!$A$2:$A$91,"&lt;="&amp;$B8)</f>
        <v>22</v>
      </c>
      <c r="G8" s="11" t="n">
        <f aca="false">SUMIFS(Quotidien!$F$2:$F$91,Quotidien!$A$2:$A$91,"&gt;="&amp;$A8,Quotidien!$A$2:$A$91,"&lt;="&amp;$B8)</f>
        <v>9</v>
      </c>
      <c r="H8" s="12" t="n">
        <f aca="false">IF(F8=0,"",SUMIFS(Intentions!$K$2:$K$344,Intentions!$B$2:$B$344,"&gt;="&amp;$A8,Intentions!$B$2:$B$344,"&lt;="&amp;$B8)/F8)</f>
        <v>0.409090909090909</v>
      </c>
      <c r="I8" s="10" t="n">
        <f aca="false">SUMIFS(Quotidien!$I$2:$I$91,Quotidien!$A$2:$A$91,"&gt;="&amp;$A8,Quotidien!$A$2:$A$91,"&lt;="&amp;$B8)/60</f>
        <v>10.7166666666667</v>
      </c>
      <c r="J8" s="10" t="n">
        <f aca="false">SUMIFS(Quotidien!$J$2:$J$91,Quotidien!$A$2:$A$91,"&gt;="&amp;$A8,Quotidien!$A$2:$A$91,"&lt;="&amp;$B8)/60</f>
        <v>0.4</v>
      </c>
      <c r="K8" s="10" t="n">
        <f aca="false">SUMIFS(Quotidien!$K$2:$K$91,Quotidien!$A$2:$A$91,"&gt;="&amp;$A8,Quotidien!$A$2:$A$91,"&lt;="&amp;$B8)/60</f>
        <v>0.4</v>
      </c>
      <c r="L8" s="10" t="n">
        <f aca="false">SUMIFS(Quotidien!$L$2:$L$91,Quotidien!$A$2:$A$91,"&gt;="&amp;$A8,Quotidien!$A$2:$A$91,"&lt;="&amp;$B8)/60</f>
        <v>4.8</v>
      </c>
      <c r="M8" s="10" t="n">
        <f aca="false">SUMIFS(Quotidien!$M$2:$M$91,Quotidien!$A$2:$A$91,"&gt;="&amp;$A8,Quotidien!$A$2:$A$91,"&lt;="&amp;$B8)/60</f>
        <v>1.48333333333333</v>
      </c>
      <c r="N8" s="10" t="n">
        <f aca="false">SUMIFS(Quotidien!$N$2:$N$91,Quotidien!$A$2:$A$91,"&gt;="&amp;$A8,Quotidien!$A$2:$A$91,"&lt;="&amp;$B8)/60</f>
        <v>0</v>
      </c>
      <c r="O8" s="10" t="n">
        <f aca="false">SUMIFS(Quotidien!$O$2:$O$91,Quotidien!$A$2:$A$91,"&gt;="&amp;$A8,Quotidien!$A$2:$A$91,"&lt;="&amp;$B8)/60</f>
        <v>0</v>
      </c>
      <c r="P8" s="10" t="n">
        <f aca="false">SUMIFS(Quotidien!$P$2:$P$91,Quotidien!$A$2:$A$91,"&gt;="&amp;$A8,Quotidien!$A$2:$A$91,"&lt;="&amp;$B8)/60</f>
        <v>3.63333333333333</v>
      </c>
      <c r="Q8" s="10" t="n">
        <f aca="false">IFERROR(AVERAGEIFS(Quotidien!$Q$2:$Q$91,Quotidien!$A$2:$A$91,"&gt;="&amp;$A8,Quotidien!$A$2:$A$91,"&lt;="&amp;$B8),"")</f>
        <v>6.93333333333333</v>
      </c>
      <c r="R8" s="18" t="n">
        <f aca="false">IFERROR(AVERAGEIFS(Quotidien!$S$2:$S$91,Quotidien!$A$2:$A$91,"&gt;="&amp;$A8,Quotidien!$A$2:$A$91,"&lt;="&amp;$B8),"")</f>
        <v>3</v>
      </c>
      <c r="S8" s="18" t="n">
        <f aca="false">IFERROR(AVERAGEIFS(Quotidien!$U$2:$U$91,Quotidien!$A$2:$A$91,"&gt;="&amp;$A8,Quotidien!$A$2:$A$91,"&lt;="&amp;$B8),"")</f>
        <v>3.16666666666667</v>
      </c>
      <c r="T8" s="10" t="n">
        <f aca="false">IFERROR(AVERAGEIFS(Intentions!$J$2:$J$344,Intentions!$B$2:$B$344,"&gt;="&amp;$A8,Intentions!$B$2:$B$344,"&lt;="&amp;$B8),"")</f>
        <v>8.66666666666667</v>
      </c>
    </row>
    <row r="9" customFormat="false" ht="15" hidden="false" customHeight="false" outlineLevel="0" collapsed="false">
      <c r="A9" s="15" t="n">
        <v>46265</v>
      </c>
      <c r="B9" s="15" t="n">
        <f aca="false">A9+6</f>
        <v>46271</v>
      </c>
      <c r="C9" s="11" t="n">
        <f aca="false">COUNTIFS(Quotidien!$A$2:$A$91,"&gt;="&amp;$A9,Quotidien!$A$2:$A$91,"&lt;="&amp;$B9,Quotidien!$C$2:$C$91,"Oui")</f>
        <v>6</v>
      </c>
      <c r="D9" s="12" t="n">
        <f aca="false">IFERROR(C9/COUNTIFS(Quotidien!$A$2:$A$91,"&gt;="&amp;$A9,Quotidien!$A$2:$A$91,"&lt;="&amp;$B9),"")</f>
        <v>0.857142857142857</v>
      </c>
      <c r="E9" s="11" t="n">
        <f aca="false">SUMIFS(Quotidien!$D$2:$D$91,Quotidien!$A$2:$A$91,"&gt;="&amp;$A9,Quotidien!$A$2:$A$91,"&lt;="&amp;$B9)</f>
        <v>27</v>
      </c>
      <c r="F9" s="11" t="n">
        <f aca="false">SUMIFS(Quotidien!$E$2:$E$91,Quotidien!$A$2:$A$91,"&gt;="&amp;$A9,Quotidien!$A$2:$A$91,"&lt;="&amp;$B9)</f>
        <v>27</v>
      </c>
      <c r="G9" s="11" t="n">
        <f aca="false">SUMIFS(Quotidien!$F$2:$F$91,Quotidien!$A$2:$A$91,"&gt;="&amp;$A9,Quotidien!$A$2:$A$91,"&lt;="&amp;$B9)</f>
        <v>13</v>
      </c>
      <c r="H9" s="12" t="n">
        <f aca="false">IF(F9=0,"",SUMIFS(Intentions!$K$2:$K$344,Intentions!$B$2:$B$344,"&gt;="&amp;$A9,Intentions!$B$2:$B$344,"&lt;="&amp;$B9)/F9)</f>
        <v>0.407407407407407</v>
      </c>
      <c r="I9" s="10" t="n">
        <f aca="false">SUMIFS(Quotidien!$I$2:$I$91,Quotidien!$A$2:$A$91,"&gt;="&amp;$A9,Quotidien!$A$2:$A$91,"&lt;="&amp;$B9)/60</f>
        <v>14.3833333333333</v>
      </c>
      <c r="J9" s="10" t="n">
        <f aca="false">SUMIFS(Quotidien!$J$2:$J$91,Quotidien!$A$2:$A$91,"&gt;="&amp;$A9,Quotidien!$A$2:$A$91,"&lt;="&amp;$B9)/60</f>
        <v>0.816666666666667</v>
      </c>
      <c r="K9" s="10" t="n">
        <f aca="false">SUMIFS(Quotidien!$K$2:$K$91,Quotidien!$A$2:$A$91,"&gt;="&amp;$A9,Quotidien!$A$2:$A$91,"&lt;="&amp;$B9)/60</f>
        <v>0.733333333333333</v>
      </c>
      <c r="L9" s="10" t="n">
        <f aca="false">SUMIFS(Quotidien!$L$2:$L$91,Quotidien!$A$2:$A$91,"&gt;="&amp;$A9,Quotidien!$A$2:$A$91,"&lt;="&amp;$B9)/60</f>
        <v>4.85</v>
      </c>
      <c r="M9" s="10" t="n">
        <f aca="false">SUMIFS(Quotidien!$M$2:$M$91,Quotidien!$A$2:$A$91,"&gt;="&amp;$A9,Quotidien!$A$2:$A$91,"&lt;="&amp;$B9)/60</f>
        <v>0</v>
      </c>
      <c r="N9" s="10" t="n">
        <f aca="false">SUMIFS(Quotidien!$N$2:$N$91,Quotidien!$A$2:$A$91,"&gt;="&amp;$A9,Quotidien!$A$2:$A$91,"&lt;="&amp;$B9)/60</f>
        <v>0</v>
      </c>
      <c r="O9" s="10" t="n">
        <f aca="false">SUMIFS(Quotidien!$O$2:$O$91,Quotidien!$A$2:$A$91,"&gt;="&amp;$A9,Quotidien!$A$2:$A$91,"&lt;="&amp;$B9)/60</f>
        <v>0.75</v>
      </c>
      <c r="P9" s="10" t="n">
        <f aca="false">SUMIFS(Quotidien!$P$2:$P$91,Quotidien!$A$2:$A$91,"&gt;="&amp;$A9,Quotidien!$A$2:$A$91,"&lt;="&amp;$B9)/60</f>
        <v>7.23333333333333</v>
      </c>
      <c r="Q9" s="10" t="n">
        <f aca="false">IFERROR(AVERAGEIFS(Quotidien!$Q$2:$Q$91,Quotidien!$A$2:$A$91,"&gt;="&amp;$A9,Quotidien!$A$2:$A$91,"&lt;="&amp;$B9),"")</f>
        <v>7.58333333333333</v>
      </c>
      <c r="R9" s="18" t="n">
        <f aca="false">IFERROR(AVERAGEIFS(Quotidien!$S$2:$S$91,Quotidien!$A$2:$A$91,"&gt;="&amp;$A9,Quotidien!$A$2:$A$91,"&lt;="&amp;$B9),"")</f>
        <v>3.5</v>
      </c>
      <c r="S9" s="18" t="n">
        <f aca="false">IFERROR(AVERAGEIFS(Quotidien!$U$2:$U$91,Quotidien!$A$2:$A$91,"&gt;="&amp;$A9,Quotidien!$A$2:$A$91,"&lt;="&amp;$B9),"")</f>
        <v>3.5</v>
      </c>
      <c r="T9" s="10" t="n">
        <f aca="false">IFERROR(AVERAGEIFS(Intentions!$J$2:$J$344,Intentions!$B$2:$B$344,"&gt;="&amp;$A9,Intentions!$B$2:$B$344,"&lt;="&amp;$B9),"")</f>
        <v>1</v>
      </c>
    </row>
    <row r="10" customFormat="false" ht="15" hidden="false" customHeight="false" outlineLevel="0" collapsed="false">
      <c r="A10" s="15" t="n">
        <v>46272</v>
      </c>
      <c r="B10" s="15" t="n">
        <f aca="false">A10+6</f>
        <v>46278</v>
      </c>
      <c r="C10" s="11" t="n">
        <f aca="false">COUNTIFS(Quotidien!$A$2:$A$91,"&gt;="&amp;$A10,Quotidien!$A$2:$A$91,"&lt;="&amp;$B10,Quotidien!$C$2:$C$91,"Oui")</f>
        <v>3</v>
      </c>
      <c r="D10" s="12" t="n">
        <f aca="false">IFERROR(C10/COUNTIFS(Quotidien!$A$2:$A$91,"&gt;="&amp;$A10,Quotidien!$A$2:$A$91,"&lt;="&amp;$B10),"")</f>
        <v>0.428571428571429</v>
      </c>
      <c r="E10" s="11" t="n">
        <f aca="false">SUMIFS(Quotidien!$D$2:$D$91,Quotidien!$A$2:$A$91,"&gt;="&amp;$A10,Quotidien!$A$2:$A$91,"&lt;="&amp;$B10)</f>
        <v>10</v>
      </c>
      <c r="F10" s="11" t="n">
        <f aca="false">SUMIFS(Quotidien!$E$2:$E$91,Quotidien!$A$2:$A$91,"&gt;="&amp;$A10,Quotidien!$A$2:$A$91,"&lt;="&amp;$B10)</f>
        <v>10</v>
      </c>
      <c r="G10" s="11" t="n">
        <f aca="false">SUMIFS(Quotidien!$F$2:$F$91,Quotidien!$A$2:$A$91,"&gt;="&amp;$A10,Quotidien!$A$2:$A$91,"&lt;="&amp;$B10)</f>
        <v>3</v>
      </c>
      <c r="H10" s="12" t="n">
        <f aca="false">IF(F10=0,"",SUMIFS(Intentions!$K$2:$K$344,Intentions!$B$2:$B$344,"&gt;="&amp;$A10,Intentions!$B$2:$B$344,"&lt;="&amp;$B10)/F10)</f>
        <v>0.3</v>
      </c>
      <c r="I10" s="10" t="n">
        <f aca="false">SUMIFS(Quotidien!$I$2:$I$91,Quotidien!$A$2:$A$91,"&gt;="&amp;$A10,Quotidien!$A$2:$A$91,"&lt;="&amp;$B10)/60</f>
        <v>4.95</v>
      </c>
      <c r="J10" s="10" t="n">
        <f aca="false">SUMIFS(Quotidien!$J$2:$J$91,Quotidien!$A$2:$A$91,"&gt;="&amp;$A10,Quotidien!$A$2:$A$91,"&lt;="&amp;$B10)/60</f>
        <v>0</v>
      </c>
      <c r="K10" s="10" t="n">
        <f aca="false">SUMIFS(Quotidien!$K$2:$K$91,Quotidien!$A$2:$A$91,"&gt;="&amp;$A10,Quotidien!$A$2:$A$91,"&lt;="&amp;$B10)/60</f>
        <v>0</v>
      </c>
      <c r="L10" s="10" t="n">
        <f aca="false">SUMIFS(Quotidien!$L$2:$L$91,Quotidien!$A$2:$A$91,"&gt;="&amp;$A10,Quotidien!$A$2:$A$91,"&lt;="&amp;$B10)/60</f>
        <v>0</v>
      </c>
      <c r="M10" s="10" t="n">
        <f aca="false">SUMIFS(Quotidien!$M$2:$M$91,Quotidien!$A$2:$A$91,"&gt;="&amp;$A10,Quotidien!$A$2:$A$91,"&lt;="&amp;$B10)/60</f>
        <v>2.95</v>
      </c>
      <c r="N10" s="10" t="n">
        <f aca="false">SUMIFS(Quotidien!$N$2:$N$91,Quotidien!$A$2:$A$91,"&gt;="&amp;$A10,Quotidien!$A$2:$A$91,"&lt;="&amp;$B10)/60</f>
        <v>0.5</v>
      </c>
      <c r="O10" s="10" t="n">
        <f aca="false">SUMIFS(Quotidien!$O$2:$O$91,Quotidien!$A$2:$A$91,"&gt;="&amp;$A10,Quotidien!$A$2:$A$91,"&lt;="&amp;$B10)/60</f>
        <v>0</v>
      </c>
      <c r="P10" s="10" t="n">
        <f aca="false">SUMIFS(Quotidien!$P$2:$P$91,Quotidien!$A$2:$A$91,"&gt;="&amp;$A10,Quotidien!$A$2:$A$91,"&lt;="&amp;$B10)/60</f>
        <v>1.5</v>
      </c>
      <c r="Q10" s="10" t="n">
        <f aca="false">IFERROR(AVERAGEIFS(Quotidien!$Q$2:$Q$91,Quotidien!$A$2:$A$91,"&gt;="&amp;$A10,Quotidien!$A$2:$A$91,"&lt;="&amp;$B10),"")</f>
        <v>6.6</v>
      </c>
      <c r="R10" s="18" t="n">
        <f aca="false">IFERROR(AVERAGEIFS(Quotidien!$S$2:$S$91,Quotidien!$A$2:$A$91,"&gt;="&amp;$A10,Quotidien!$A$2:$A$91,"&lt;="&amp;$B10),"")</f>
        <v>2.33333333333333</v>
      </c>
      <c r="S10" s="18" t="n">
        <f aca="false">IFERROR(AVERAGEIFS(Quotidien!$U$2:$U$91,Quotidien!$A$2:$A$91,"&gt;="&amp;$A10,Quotidien!$A$2:$A$91,"&lt;="&amp;$B10),"")</f>
        <v>3.33333333333333</v>
      </c>
      <c r="T10" s="10" t="n">
        <f aca="false">IFERROR(AVERAGEIFS(Intentions!$J$2:$J$344,Intentions!$B$2:$B$344,"&gt;="&amp;$A10,Intentions!$B$2:$B$344,"&lt;="&amp;$B10),"")</f>
        <v>24</v>
      </c>
    </row>
    <row r="11" customFormat="false" ht="15" hidden="false" customHeight="false" outlineLevel="0" collapsed="false">
      <c r="A11" s="15" t="n">
        <v>46279</v>
      </c>
      <c r="B11" s="15" t="n">
        <f aca="false">A11+6</f>
        <v>46285</v>
      </c>
      <c r="C11" s="11" t="n">
        <f aca="false">COUNTIFS(Quotidien!$A$2:$A$91,"&gt;="&amp;$A11,Quotidien!$A$2:$A$91,"&lt;="&amp;$B11,Quotidien!$C$2:$C$91,"Oui")</f>
        <v>7</v>
      </c>
      <c r="D11" s="12" t="n">
        <f aca="false">IFERROR(C11/COUNTIFS(Quotidien!$A$2:$A$91,"&gt;="&amp;$A11,Quotidien!$A$2:$A$91,"&lt;="&amp;$B11),"")</f>
        <v>1</v>
      </c>
      <c r="E11" s="11" t="n">
        <f aca="false">SUMIFS(Quotidien!$D$2:$D$91,Quotidien!$A$2:$A$91,"&gt;="&amp;$A11,Quotidien!$A$2:$A$91,"&lt;="&amp;$B11)</f>
        <v>28</v>
      </c>
      <c r="F11" s="11" t="n">
        <f aca="false">SUMIFS(Quotidien!$E$2:$E$91,Quotidien!$A$2:$A$91,"&gt;="&amp;$A11,Quotidien!$A$2:$A$91,"&lt;="&amp;$B11)</f>
        <v>28</v>
      </c>
      <c r="G11" s="11" t="n">
        <f aca="false">SUMIFS(Quotidien!$F$2:$F$91,Quotidien!$A$2:$A$91,"&gt;="&amp;$A11,Quotidien!$A$2:$A$91,"&lt;="&amp;$B11)</f>
        <v>14</v>
      </c>
      <c r="H11" s="12" t="n">
        <f aca="false">IF(F11=0,"",SUMIFS(Intentions!$K$2:$K$344,Intentions!$B$2:$B$344,"&gt;="&amp;$A11,Intentions!$B$2:$B$344,"&lt;="&amp;$B11)/F11)</f>
        <v>0.392857142857143</v>
      </c>
      <c r="I11" s="10" t="n">
        <f aca="false">SUMIFS(Quotidien!$I$2:$I$91,Quotidien!$A$2:$A$91,"&gt;="&amp;$A11,Quotidien!$A$2:$A$91,"&lt;="&amp;$B11)/60</f>
        <v>12.7333333333333</v>
      </c>
      <c r="J11" s="10" t="n">
        <f aca="false">SUMIFS(Quotidien!$J$2:$J$91,Quotidien!$A$2:$A$91,"&gt;="&amp;$A11,Quotidien!$A$2:$A$91,"&lt;="&amp;$B11)/60</f>
        <v>0.7</v>
      </c>
      <c r="K11" s="10" t="n">
        <f aca="false">SUMIFS(Quotidien!$K$2:$K$91,Quotidien!$A$2:$A$91,"&gt;="&amp;$A11,Quotidien!$A$2:$A$91,"&lt;="&amp;$B11)/60</f>
        <v>0.65</v>
      </c>
      <c r="L11" s="10" t="n">
        <f aca="false">SUMIFS(Quotidien!$L$2:$L$91,Quotidien!$A$2:$A$91,"&gt;="&amp;$A11,Quotidien!$A$2:$A$91,"&lt;="&amp;$B11)/60</f>
        <v>4.2</v>
      </c>
      <c r="M11" s="10" t="n">
        <f aca="false">SUMIFS(Quotidien!$M$2:$M$91,Quotidien!$A$2:$A$91,"&gt;="&amp;$A11,Quotidien!$A$2:$A$91,"&lt;="&amp;$B11)/60</f>
        <v>0.816666666666667</v>
      </c>
      <c r="N11" s="10" t="n">
        <f aca="false">SUMIFS(Quotidien!$N$2:$N$91,Quotidien!$A$2:$A$91,"&gt;="&amp;$A11,Quotidien!$A$2:$A$91,"&lt;="&amp;$B11)/60</f>
        <v>0.3</v>
      </c>
      <c r="O11" s="10" t="n">
        <f aca="false">SUMIFS(Quotidien!$O$2:$O$91,Quotidien!$A$2:$A$91,"&gt;="&amp;$A11,Quotidien!$A$2:$A$91,"&lt;="&amp;$B11)/60</f>
        <v>1.06666666666667</v>
      </c>
      <c r="P11" s="10" t="n">
        <f aca="false">SUMIFS(Quotidien!$P$2:$P$91,Quotidien!$A$2:$A$91,"&gt;="&amp;$A11,Quotidien!$A$2:$A$91,"&lt;="&amp;$B11)/60</f>
        <v>5</v>
      </c>
      <c r="Q11" s="10" t="n">
        <f aca="false">IFERROR(AVERAGEIFS(Quotidien!$Q$2:$Q$91,Quotidien!$A$2:$A$91,"&gt;="&amp;$A11,Quotidien!$A$2:$A$91,"&lt;="&amp;$B11),"")</f>
        <v>6.4</v>
      </c>
      <c r="R11" s="18" t="n">
        <f aca="false">IFERROR(AVERAGEIFS(Quotidien!$S$2:$S$91,Quotidien!$A$2:$A$91,"&gt;="&amp;$A11,Quotidien!$A$2:$A$91,"&lt;="&amp;$B11),"")</f>
        <v>3.28571428571429</v>
      </c>
      <c r="S11" s="18" t="n">
        <f aca="false">IFERROR(AVERAGEIFS(Quotidien!$U$2:$U$91,Quotidien!$A$2:$A$91,"&gt;="&amp;$A11,Quotidien!$A$2:$A$91,"&lt;="&amp;$B11),"")</f>
        <v>2.71428571428571</v>
      </c>
      <c r="T11" s="10" t="n">
        <f aca="false">IFERROR(AVERAGEIFS(Intentions!$J$2:$J$344,Intentions!$B$2:$B$344,"&gt;="&amp;$A11,Intentions!$B$2:$B$344,"&lt;="&amp;$B11),"")</f>
        <v>-3.28571428571429</v>
      </c>
    </row>
    <row r="12" customFormat="false" ht="15" hidden="false" customHeight="false" outlineLevel="0" collapsed="false">
      <c r="A12" s="15" t="n">
        <v>46286</v>
      </c>
      <c r="B12" s="15" t="n">
        <f aca="false">A12+6</f>
        <v>46292</v>
      </c>
      <c r="C12" s="11" t="n">
        <f aca="false">COUNTIFS(Quotidien!$A$2:$A$91,"&gt;="&amp;$A12,Quotidien!$A$2:$A$91,"&lt;="&amp;$B12,Quotidien!$C$2:$C$91,"Oui")</f>
        <v>7</v>
      </c>
      <c r="D12" s="12" t="n">
        <f aca="false">IFERROR(C12/COUNTIFS(Quotidien!$A$2:$A$91,"&gt;="&amp;$A12,Quotidien!$A$2:$A$91,"&lt;="&amp;$B12),"")</f>
        <v>1</v>
      </c>
      <c r="E12" s="11" t="n">
        <f aca="false">SUMIFS(Quotidien!$D$2:$D$91,Quotidien!$A$2:$A$91,"&gt;="&amp;$A12,Quotidien!$A$2:$A$91,"&lt;="&amp;$B12)</f>
        <v>38</v>
      </c>
      <c r="F12" s="11" t="n">
        <f aca="false">SUMIFS(Quotidien!$E$2:$E$91,Quotidien!$A$2:$A$91,"&gt;="&amp;$A12,Quotidien!$A$2:$A$91,"&lt;="&amp;$B12)</f>
        <v>38</v>
      </c>
      <c r="G12" s="11" t="n">
        <f aca="false">SUMIFS(Quotidien!$F$2:$F$91,Quotidien!$A$2:$A$91,"&gt;="&amp;$A12,Quotidien!$A$2:$A$91,"&lt;="&amp;$B12)</f>
        <v>20</v>
      </c>
      <c r="H12" s="12" t="n">
        <f aca="false">IF(F12=0,"",SUMIFS(Intentions!$K$2:$K$344,Intentions!$B$2:$B$344,"&gt;="&amp;$A12,Intentions!$B$2:$B$344,"&lt;="&amp;$B12)/F12)</f>
        <v>0.447368421052632</v>
      </c>
      <c r="I12" s="10" t="n">
        <f aca="false">SUMIFS(Quotidien!$I$2:$I$91,Quotidien!$A$2:$A$91,"&gt;="&amp;$A12,Quotidien!$A$2:$A$91,"&lt;="&amp;$B12)/60</f>
        <v>18.9</v>
      </c>
      <c r="J12" s="10" t="n">
        <f aca="false">SUMIFS(Quotidien!$J$2:$J$91,Quotidien!$A$2:$A$91,"&gt;="&amp;$A12,Quotidien!$A$2:$A$91,"&lt;="&amp;$B12)/60</f>
        <v>2.18333333333333</v>
      </c>
      <c r="K12" s="10" t="n">
        <f aca="false">SUMIFS(Quotidien!$K$2:$K$91,Quotidien!$A$2:$A$91,"&gt;="&amp;$A12,Quotidien!$A$2:$A$91,"&lt;="&amp;$B12)/60</f>
        <v>0.883333333333333</v>
      </c>
      <c r="L12" s="10" t="n">
        <f aca="false">SUMIFS(Quotidien!$L$2:$L$91,Quotidien!$A$2:$A$91,"&gt;="&amp;$A12,Quotidien!$A$2:$A$91,"&lt;="&amp;$B12)/60</f>
        <v>6.36666666666667</v>
      </c>
      <c r="M12" s="10" t="n">
        <f aca="false">SUMIFS(Quotidien!$M$2:$M$91,Quotidien!$A$2:$A$91,"&gt;="&amp;$A12,Quotidien!$A$2:$A$91,"&lt;="&amp;$B12)/60</f>
        <v>3.81666666666667</v>
      </c>
      <c r="N12" s="10" t="n">
        <f aca="false">SUMIFS(Quotidien!$N$2:$N$91,Quotidien!$A$2:$A$91,"&gt;="&amp;$A12,Quotidien!$A$2:$A$91,"&lt;="&amp;$B12)/60</f>
        <v>0.25</v>
      </c>
      <c r="O12" s="10" t="n">
        <f aca="false">SUMIFS(Quotidien!$O$2:$O$91,Quotidien!$A$2:$A$91,"&gt;="&amp;$A12,Quotidien!$A$2:$A$91,"&lt;="&amp;$B12)/60</f>
        <v>0.4</v>
      </c>
      <c r="P12" s="10" t="n">
        <f aca="false">SUMIFS(Quotidien!$P$2:$P$91,Quotidien!$A$2:$A$91,"&gt;="&amp;$A12,Quotidien!$A$2:$A$91,"&lt;="&amp;$B12)/60</f>
        <v>5</v>
      </c>
      <c r="Q12" s="10" t="n">
        <f aca="false">IFERROR(AVERAGEIFS(Quotidien!$Q$2:$Q$91,Quotidien!$A$2:$A$91,"&gt;="&amp;$A12,Quotidien!$A$2:$A$91,"&lt;="&amp;$B12),"")</f>
        <v>6.95714285714286</v>
      </c>
      <c r="R12" s="18" t="n">
        <f aca="false">IFERROR(AVERAGEIFS(Quotidien!$S$2:$S$91,Quotidien!$A$2:$A$91,"&gt;="&amp;$A12,Quotidien!$A$2:$A$91,"&lt;="&amp;$B12),"")</f>
        <v>3.14285714285714</v>
      </c>
      <c r="S12" s="18" t="n">
        <f aca="false">IFERROR(AVERAGEIFS(Quotidien!$U$2:$U$91,Quotidien!$A$2:$A$91,"&gt;="&amp;$A12,Quotidien!$A$2:$A$91,"&lt;="&amp;$B12),"")</f>
        <v>3</v>
      </c>
      <c r="T12" s="10" t="n">
        <f aca="false">IFERROR(AVERAGEIFS(Intentions!$J$2:$J$344,Intentions!$B$2:$B$344,"&gt;="&amp;$A12,Intentions!$B$2:$B$344,"&lt;="&amp;$B12),"")</f>
        <v>4.7</v>
      </c>
    </row>
    <row r="13" customFormat="false" ht="15" hidden="false" customHeight="false" outlineLevel="0" collapsed="false">
      <c r="A13" s="15" t="n">
        <v>46293</v>
      </c>
      <c r="B13" s="15" t="n">
        <f aca="false">A13+6</f>
        <v>46299</v>
      </c>
      <c r="C13" s="11" t="n">
        <f aca="false">COUNTIFS(Quotidien!$A$2:$A$91,"&gt;="&amp;$A13,Quotidien!$A$2:$A$91,"&lt;="&amp;$B13,Quotidien!$C$2:$C$91,"Oui")</f>
        <v>7</v>
      </c>
      <c r="D13" s="12" t="n">
        <f aca="false">IFERROR(C13/COUNTIFS(Quotidien!$A$2:$A$91,"&gt;="&amp;$A13,Quotidien!$A$2:$A$91,"&lt;="&amp;$B13),"")</f>
        <v>1</v>
      </c>
      <c r="E13" s="11" t="n">
        <f aca="false">SUMIFS(Quotidien!$D$2:$D$91,Quotidien!$A$2:$A$91,"&gt;="&amp;$A13,Quotidien!$A$2:$A$91,"&lt;="&amp;$B13)</f>
        <v>32</v>
      </c>
      <c r="F13" s="11" t="n">
        <f aca="false">SUMIFS(Quotidien!$E$2:$E$91,Quotidien!$A$2:$A$91,"&gt;="&amp;$A13,Quotidien!$A$2:$A$91,"&lt;="&amp;$B13)</f>
        <v>32</v>
      </c>
      <c r="G13" s="11" t="n">
        <f aca="false">SUMIFS(Quotidien!$F$2:$F$91,Quotidien!$A$2:$A$91,"&gt;="&amp;$A13,Quotidien!$A$2:$A$91,"&lt;="&amp;$B13)</f>
        <v>14</v>
      </c>
      <c r="H13" s="12" t="n">
        <f aca="false">IF(F13=0,"",SUMIFS(Intentions!$K$2:$K$344,Intentions!$B$2:$B$344,"&gt;="&amp;$A13,Intentions!$B$2:$B$344,"&lt;="&amp;$B13)/F13)</f>
        <v>0.375</v>
      </c>
      <c r="I13" s="10" t="n">
        <f aca="false">SUMIFS(Quotidien!$I$2:$I$91,Quotidien!$A$2:$A$91,"&gt;="&amp;$A13,Quotidien!$A$2:$A$91,"&lt;="&amp;$B13)/60</f>
        <v>12.7166666666667</v>
      </c>
      <c r="J13" s="10" t="n">
        <f aca="false">SUMIFS(Quotidien!$J$2:$J$91,Quotidien!$A$2:$A$91,"&gt;="&amp;$A13,Quotidien!$A$2:$A$91,"&lt;="&amp;$B13)/60</f>
        <v>1.31666666666667</v>
      </c>
      <c r="K13" s="10" t="n">
        <f aca="false">SUMIFS(Quotidien!$K$2:$K$91,Quotidien!$A$2:$A$91,"&gt;="&amp;$A13,Quotidien!$A$2:$A$91,"&lt;="&amp;$B13)/60</f>
        <v>0</v>
      </c>
      <c r="L13" s="10" t="n">
        <f aca="false">SUMIFS(Quotidien!$L$2:$L$91,Quotidien!$A$2:$A$91,"&gt;="&amp;$A13,Quotidien!$A$2:$A$91,"&lt;="&amp;$B13)/60</f>
        <v>9.03333333333333</v>
      </c>
      <c r="M13" s="10" t="n">
        <f aca="false">SUMIFS(Quotidien!$M$2:$M$91,Quotidien!$A$2:$A$91,"&gt;="&amp;$A13,Quotidien!$A$2:$A$91,"&lt;="&amp;$B13)/60</f>
        <v>0.6</v>
      </c>
      <c r="N13" s="10" t="n">
        <f aca="false">SUMIFS(Quotidien!$N$2:$N$91,Quotidien!$A$2:$A$91,"&gt;="&amp;$A13,Quotidien!$A$2:$A$91,"&lt;="&amp;$B13)/60</f>
        <v>0.416666666666667</v>
      </c>
      <c r="O13" s="10" t="n">
        <f aca="false">SUMIFS(Quotidien!$O$2:$O$91,Quotidien!$A$2:$A$91,"&gt;="&amp;$A13,Quotidien!$A$2:$A$91,"&lt;="&amp;$B13)/60</f>
        <v>0.35</v>
      </c>
      <c r="P13" s="10" t="n">
        <f aca="false">SUMIFS(Quotidien!$P$2:$P$91,Quotidien!$A$2:$A$91,"&gt;="&amp;$A13,Quotidien!$A$2:$A$91,"&lt;="&amp;$B13)/60</f>
        <v>1</v>
      </c>
      <c r="Q13" s="10" t="n">
        <f aca="false">IFERROR(AVERAGEIFS(Quotidien!$Q$2:$Q$91,Quotidien!$A$2:$A$91,"&gt;="&amp;$A13,Quotidien!$A$2:$A$91,"&lt;="&amp;$B13),"")</f>
        <v>6.4</v>
      </c>
      <c r="R13" s="18" t="n">
        <f aca="false">IFERROR(AVERAGEIFS(Quotidien!$S$2:$S$91,Quotidien!$A$2:$A$91,"&gt;="&amp;$A13,Quotidien!$A$2:$A$91,"&lt;="&amp;$B13),"")</f>
        <v>2.28571428571429</v>
      </c>
      <c r="S13" s="18" t="n">
        <f aca="false">IFERROR(AVERAGEIFS(Quotidien!$U$2:$U$91,Quotidien!$A$2:$A$91,"&gt;="&amp;$A13,Quotidien!$A$2:$A$91,"&lt;="&amp;$B13),"")</f>
        <v>3.14285714285714</v>
      </c>
      <c r="T13" s="10" t="n">
        <f aca="false">IFERROR(AVERAGEIFS(Intentions!$J$2:$J$344,Intentions!$B$2:$B$344,"&gt;="&amp;$A13,Intentions!$B$2:$B$344,"&lt;="&amp;$B13),"")</f>
        <v>-2.64285714285714</v>
      </c>
    </row>
    <row r="14" customFormat="false" ht="15" hidden="false" customHeight="false" outlineLevel="0" collapsed="false">
      <c r="A14" s="15" t="n">
        <v>46300</v>
      </c>
      <c r="B14" s="15" t="n">
        <f aca="false">A14+6</f>
        <v>46306</v>
      </c>
      <c r="C14" s="11" t="n">
        <f aca="false">COUNTIFS(Quotidien!$A$2:$A$91,"&gt;="&amp;$A14,Quotidien!$A$2:$A$91,"&lt;="&amp;$B14,Quotidien!$C$2:$C$91,"Oui")</f>
        <v>2</v>
      </c>
      <c r="D14" s="12" t="n">
        <f aca="false">IFERROR(C14/COUNTIFS(Quotidien!$A$2:$A$91,"&gt;="&amp;$A14,Quotidien!$A$2:$A$91,"&lt;="&amp;$B14),"")</f>
        <v>0.333333333333333</v>
      </c>
      <c r="E14" s="11" t="n">
        <f aca="false">SUMIFS(Quotidien!$D$2:$D$91,Quotidien!$A$2:$A$91,"&gt;="&amp;$A14,Quotidien!$A$2:$A$91,"&lt;="&amp;$B14)</f>
        <v>10</v>
      </c>
      <c r="F14" s="11" t="n">
        <f aca="false">SUMIFS(Quotidien!$E$2:$E$91,Quotidien!$A$2:$A$91,"&gt;="&amp;$A14,Quotidien!$A$2:$A$91,"&lt;="&amp;$B14)</f>
        <v>10</v>
      </c>
      <c r="G14" s="11" t="n">
        <f aca="false">SUMIFS(Quotidien!$F$2:$F$91,Quotidien!$A$2:$A$91,"&gt;="&amp;$A14,Quotidien!$A$2:$A$91,"&lt;="&amp;$B14)</f>
        <v>5</v>
      </c>
      <c r="H14" s="12" t="n">
        <f aca="false">IF(F14=0,"",SUMIFS(Intentions!$K$2:$K$344,Intentions!$B$2:$B$344,"&gt;="&amp;$A14,Intentions!$B$2:$B$344,"&lt;="&amp;$B14)/F14)</f>
        <v>0.45</v>
      </c>
      <c r="I14" s="10" t="n">
        <f aca="false">SUMIFS(Quotidien!$I$2:$I$91,Quotidien!$A$2:$A$91,"&gt;="&amp;$A14,Quotidien!$A$2:$A$91,"&lt;="&amp;$B14)/60</f>
        <v>2.8</v>
      </c>
      <c r="J14" s="10" t="n">
        <f aca="false">SUMIFS(Quotidien!$J$2:$J$91,Quotidien!$A$2:$A$91,"&gt;="&amp;$A14,Quotidien!$A$2:$A$91,"&lt;="&amp;$B14)/60</f>
        <v>0</v>
      </c>
      <c r="K14" s="10" t="n">
        <f aca="false">SUMIFS(Quotidien!$K$2:$K$91,Quotidien!$A$2:$A$91,"&gt;="&amp;$A14,Quotidien!$A$2:$A$91,"&lt;="&amp;$B14)/60</f>
        <v>0.5</v>
      </c>
      <c r="L14" s="10" t="n">
        <f aca="false">SUMIFS(Quotidien!$L$2:$L$91,Quotidien!$A$2:$A$91,"&gt;="&amp;$A14,Quotidien!$A$2:$A$91,"&lt;="&amp;$B14)/60</f>
        <v>1.18333333333333</v>
      </c>
      <c r="M14" s="10" t="n">
        <f aca="false">SUMIFS(Quotidien!$M$2:$M$91,Quotidien!$A$2:$A$91,"&gt;="&amp;$A14,Quotidien!$A$2:$A$91,"&lt;="&amp;$B14)/60</f>
        <v>0</v>
      </c>
      <c r="N14" s="10" t="n">
        <f aca="false">SUMIFS(Quotidien!$N$2:$N$91,Quotidien!$A$2:$A$91,"&gt;="&amp;$A14,Quotidien!$A$2:$A$91,"&lt;="&amp;$B14)/60</f>
        <v>0.483333333333333</v>
      </c>
      <c r="O14" s="10" t="n">
        <f aca="false">SUMIFS(Quotidien!$O$2:$O$91,Quotidien!$A$2:$A$91,"&gt;="&amp;$A14,Quotidien!$A$2:$A$91,"&lt;="&amp;$B14)/60</f>
        <v>0.633333333333333</v>
      </c>
      <c r="P14" s="10" t="n">
        <f aca="false">SUMIFS(Quotidien!$P$2:$P$91,Quotidien!$A$2:$A$91,"&gt;="&amp;$A14,Quotidien!$A$2:$A$91,"&lt;="&amp;$B14)/60</f>
        <v>0</v>
      </c>
      <c r="Q14" s="10" t="n">
        <f aca="false">IFERROR(AVERAGEIFS(Quotidien!$Q$2:$Q$91,Quotidien!$A$2:$A$91,"&gt;="&amp;$A14,Quotidien!$A$2:$A$91,"&lt;="&amp;$B14),"")</f>
        <v>6.35</v>
      </c>
      <c r="R14" s="18" t="n">
        <f aca="false">IFERROR(AVERAGEIFS(Quotidien!$S$2:$S$91,Quotidien!$A$2:$A$91,"&gt;="&amp;$A14,Quotidien!$A$2:$A$91,"&lt;="&amp;$B14),"")</f>
        <v>3</v>
      </c>
      <c r="S14" s="18" t="n">
        <f aca="false">IFERROR(AVERAGEIFS(Quotidien!$U$2:$U$91,Quotidien!$A$2:$A$91,"&gt;="&amp;$A14,Quotidien!$A$2:$A$91,"&lt;="&amp;$B14),"")</f>
        <v>4</v>
      </c>
      <c r="T14" s="10" t="n">
        <f aca="false">IFERROR(AVERAGEIFS(Intentions!$J$2:$J$344,Intentions!$B$2:$B$344,"&gt;="&amp;$A14,Intentions!$B$2:$B$344,"&lt;="&amp;$B14),"")</f>
        <v>-6.4</v>
      </c>
    </row>
  </sheetData>
  <autoFilter ref="A1:T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E00"/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4" min="3" style="0" width="11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19" min="9" style="0" width="11"/>
    <col collapsed="false" customWidth="true" hidden="false" outlineLevel="0" max="20" min="20" style="0" width="14"/>
  </cols>
  <sheetData>
    <row r="1" customFormat="false" ht="30" hidden="false" customHeight="true" outlineLevel="0" collapsed="false">
      <c r="A1" s="9" t="s">
        <v>78</v>
      </c>
      <c r="B1" s="9" t="s">
        <v>79</v>
      </c>
      <c r="C1" s="9" t="s">
        <v>4</v>
      </c>
      <c r="D1" s="9" t="s">
        <v>5</v>
      </c>
      <c r="E1" s="9" t="s">
        <v>22</v>
      </c>
      <c r="F1" s="9" t="s">
        <v>49</v>
      </c>
      <c r="G1" s="9" t="s">
        <v>50</v>
      </c>
      <c r="H1" s="9" t="s">
        <v>9</v>
      </c>
      <c r="I1" s="9" t="s">
        <v>80</v>
      </c>
      <c r="J1" s="9" t="s">
        <v>81</v>
      </c>
      <c r="K1" s="9" t="s">
        <v>82</v>
      </c>
      <c r="L1" s="9" t="s">
        <v>83</v>
      </c>
      <c r="M1" s="9" t="s">
        <v>84</v>
      </c>
      <c r="N1" s="9" t="s">
        <v>85</v>
      </c>
      <c r="O1" s="9" t="s">
        <v>86</v>
      </c>
      <c r="P1" s="9" t="s">
        <v>87</v>
      </c>
      <c r="Q1" s="9" t="s">
        <v>88</v>
      </c>
      <c r="R1" s="9" t="s">
        <v>89</v>
      </c>
      <c r="S1" s="9" t="s">
        <v>90</v>
      </c>
      <c r="T1" s="9" t="s">
        <v>91</v>
      </c>
    </row>
    <row r="2" customFormat="false" ht="15" hidden="false" customHeight="false" outlineLevel="0" collapsed="false">
      <c r="A2" s="15" t="n">
        <v>46204</v>
      </c>
      <c r="B2" s="15" t="n">
        <f aca="false">EOMONTH(A2,0)</f>
        <v>46234</v>
      </c>
      <c r="C2" s="11" t="n">
        <f aca="false">COUNTIFS(Quotidien!$A$2:$A$91,"&gt;="&amp;$A2,Quotidien!$A$2:$A$91,"&lt;="&amp;$B2,Quotidien!$C$2:$C$91,"Oui")</f>
        <v>18</v>
      </c>
      <c r="D2" s="12" t="n">
        <f aca="false">IFERROR(C2/COUNTIFS(Quotidien!$A$2:$A$91,"&gt;="&amp;$A2,Quotidien!$A$2:$A$91,"&lt;="&amp;$B2),"")</f>
        <v>0.947368421052632</v>
      </c>
      <c r="E2" s="11" t="n">
        <f aca="false">SUMIFS(Quotidien!$D$2:$D$91,Quotidien!$A$2:$A$91,"&gt;="&amp;$A2,Quotidien!$A$2:$A$91,"&lt;="&amp;$B2)</f>
        <v>72</v>
      </c>
      <c r="F2" s="11" t="n">
        <f aca="false">SUMIFS(Quotidien!$E$2:$E$91,Quotidien!$A$2:$A$91,"&gt;="&amp;$A2,Quotidien!$A$2:$A$91,"&lt;="&amp;$B2)</f>
        <v>72</v>
      </c>
      <c r="G2" s="11" t="n">
        <f aca="false">SUMIFS(Quotidien!$F$2:$F$91,Quotidien!$A$2:$A$91,"&gt;="&amp;$A2,Quotidien!$A$2:$A$91,"&lt;="&amp;$B2)</f>
        <v>42</v>
      </c>
      <c r="H2" s="12" t="n">
        <f aca="false">IF(F2=0,"",SUMIFS(Intentions!$K$2:$K$344,Intentions!$B$2:$B$344,"&gt;="&amp;$A2,Intentions!$B$2:$B$344,"&lt;="&amp;$B2)/F2)</f>
        <v>0.548611111111111</v>
      </c>
      <c r="I2" s="10" t="n">
        <f aca="false">SUMIFS(Quotidien!$I$2:$I$91,Quotidien!$A$2:$A$91,"&gt;="&amp;$A2,Quotidien!$A$2:$A$91,"&lt;="&amp;$B2)/60</f>
        <v>44.6</v>
      </c>
      <c r="J2" s="10" t="n">
        <f aca="false">SUMIFS(Quotidien!$J$2:$J$91,Quotidien!$A$2:$A$91,"&gt;="&amp;$A2,Quotidien!$A$2:$A$91,"&lt;="&amp;$B2)/60</f>
        <v>3.45</v>
      </c>
      <c r="K2" s="10" t="n">
        <f aca="false">SUMIFS(Quotidien!$K$2:$K$91,Quotidien!$A$2:$A$91,"&gt;="&amp;$A2,Quotidien!$A$2:$A$91,"&lt;="&amp;$B2)/60</f>
        <v>2.38333333333333</v>
      </c>
      <c r="L2" s="10" t="n">
        <f aca="false">SUMIFS(Quotidien!$L$2:$L$91,Quotidien!$A$2:$A$91,"&gt;="&amp;$A2,Quotidien!$A$2:$A$91,"&lt;="&amp;$B2)/60</f>
        <v>17.4666666666667</v>
      </c>
      <c r="M2" s="10" t="n">
        <f aca="false">SUMIFS(Quotidien!$M$2:$M$91,Quotidien!$A$2:$A$91,"&gt;="&amp;$A2,Quotidien!$A$2:$A$91,"&lt;="&amp;$B2)/60</f>
        <v>6.23333333333333</v>
      </c>
      <c r="N2" s="10" t="n">
        <f aca="false">SUMIFS(Quotidien!$N$2:$N$91,Quotidien!$A$2:$A$91,"&gt;="&amp;$A2,Quotidien!$A$2:$A$91,"&lt;="&amp;$B2)/60</f>
        <v>0.65</v>
      </c>
      <c r="O2" s="10" t="n">
        <f aca="false">SUMIFS(Quotidien!$O$2:$O$91,Quotidien!$A$2:$A$91,"&gt;="&amp;$A2,Quotidien!$A$2:$A$91,"&lt;="&amp;$B2)/60</f>
        <v>1.83333333333333</v>
      </c>
      <c r="P2" s="10" t="n">
        <f aca="false">SUMIFS(Quotidien!$P$2:$P$91,Quotidien!$A$2:$A$91,"&gt;="&amp;$A2,Quotidien!$A$2:$A$91,"&lt;="&amp;$B2)/60</f>
        <v>12.5833333333333</v>
      </c>
      <c r="Q2" s="10" t="n">
        <f aca="false">IFERROR(AVERAGEIFS(Quotidien!$Q$2:$Q$91,Quotidien!$A$2:$A$91,"&gt;="&amp;$A2,Quotidien!$A$2:$A$91,"&lt;="&amp;$B2),"")</f>
        <v>6.71111111111111</v>
      </c>
      <c r="R2" s="18" t="n">
        <f aca="false">IFERROR(AVERAGEIFS(Quotidien!$S$2:$S$91,Quotidien!$A$2:$A$91,"&gt;="&amp;$A2,Quotidien!$A$2:$A$91,"&lt;="&amp;$B2),"")</f>
        <v>3.38888888888889</v>
      </c>
      <c r="S2" s="18" t="n">
        <f aca="false">IFERROR(AVERAGEIFS(Quotidien!$U$2:$U$91,Quotidien!$A$2:$A$91,"&gt;="&amp;$A2,Quotidien!$A$2:$A$91,"&lt;="&amp;$B2),"")</f>
        <v>3.22222222222222</v>
      </c>
      <c r="T2" s="10" t="n">
        <f aca="false">IFERROR(AVERAGEIFS(Intentions!$J$2:$J$344,Intentions!$B$2:$B$344,"&gt;="&amp;$A2,Intentions!$B$2:$B$344,"&lt;="&amp;$B2),"")</f>
        <v>7.76190476190476</v>
      </c>
    </row>
    <row r="3" customFormat="false" ht="15" hidden="false" customHeight="false" outlineLevel="0" collapsed="false">
      <c r="A3" s="15" t="n">
        <v>46235</v>
      </c>
      <c r="B3" s="15" t="n">
        <f aca="false">EOMONTH(A3,0)</f>
        <v>46265</v>
      </c>
      <c r="C3" s="11" t="n">
        <f aca="false">COUNTIFS(Quotidien!$A$2:$A$91,"&gt;="&amp;$A3,Quotidien!$A$2:$A$91,"&lt;="&amp;$B3,Quotidien!$C$2:$C$91,"Oui")</f>
        <v>29</v>
      </c>
      <c r="D3" s="12" t="n">
        <f aca="false">IFERROR(C3/COUNTIFS(Quotidien!$A$2:$A$91,"&gt;="&amp;$A3,Quotidien!$A$2:$A$91,"&lt;="&amp;$B3),"")</f>
        <v>0.935483870967742</v>
      </c>
      <c r="E3" s="11" t="n">
        <f aca="false">SUMIFS(Quotidien!$D$2:$D$91,Quotidien!$A$2:$A$91,"&gt;="&amp;$A3,Quotidien!$A$2:$A$91,"&lt;="&amp;$B3)</f>
        <v>129</v>
      </c>
      <c r="F3" s="11" t="n">
        <f aca="false">SUMIFS(Quotidien!$E$2:$E$91,Quotidien!$A$2:$A$91,"&gt;="&amp;$A3,Quotidien!$A$2:$A$91,"&lt;="&amp;$B3)</f>
        <v>129</v>
      </c>
      <c r="G3" s="11" t="n">
        <f aca="false">SUMIFS(Quotidien!$F$2:$F$91,Quotidien!$A$2:$A$91,"&gt;="&amp;$A3,Quotidien!$A$2:$A$91,"&lt;="&amp;$B3)</f>
        <v>54</v>
      </c>
      <c r="H3" s="12" t="n">
        <f aca="false">IF(F3=0,"",SUMIFS(Intentions!$K$2:$K$344,Intentions!$B$2:$B$344,"&gt;="&amp;$A3,Intentions!$B$2:$B$344,"&lt;="&amp;$B3)/F3)</f>
        <v>0.39922480620155</v>
      </c>
      <c r="I3" s="10" t="n">
        <f aca="false">SUMIFS(Quotidien!$I$2:$I$91,Quotidien!$A$2:$A$91,"&gt;="&amp;$A3,Quotidien!$A$2:$A$91,"&lt;="&amp;$B3)/60</f>
        <v>50.5333333333333</v>
      </c>
      <c r="J3" s="10" t="n">
        <f aca="false">SUMIFS(Quotidien!$J$2:$J$91,Quotidien!$A$2:$A$91,"&gt;="&amp;$A3,Quotidien!$A$2:$A$91,"&lt;="&amp;$B3)/60</f>
        <v>3.71666666666667</v>
      </c>
      <c r="K3" s="10" t="n">
        <f aca="false">SUMIFS(Quotidien!$K$2:$K$91,Quotidien!$A$2:$A$91,"&gt;="&amp;$A3,Quotidien!$A$2:$A$91,"&lt;="&amp;$B3)/60</f>
        <v>2.83333333333333</v>
      </c>
      <c r="L3" s="10" t="n">
        <f aca="false">SUMIFS(Quotidien!$L$2:$L$91,Quotidien!$A$2:$A$91,"&gt;="&amp;$A3,Quotidien!$A$2:$A$91,"&lt;="&amp;$B3)/60</f>
        <v>24.7166666666667</v>
      </c>
      <c r="M3" s="10" t="n">
        <f aca="false">SUMIFS(Quotidien!$M$2:$M$91,Quotidien!$A$2:$A$91,"&gt;="&amp;$A3,Quotidien!$A$2:$A$91,"&lt;="&amp;$B3)/60</f>
        <v>4.63333333333333</v>
      </c>
      <c r="N3" s="10" t="n">
        <f aca="false">SUMIFS(Quotidien!$N$2:$N$91,Quotidien!$A$2:$A$91,"&gt;="&amp;$A3,Quotidien!$A$2:$A$91,"&lt;="&amp;$B3)/60</f>
        <v>0.866666666666667</v>
      </c>
      <c r="O3" s="10" t="n">
        <f aca="false">SUMIFS(Quotidien!$O$2:$O$91,Quotidien!$A$2:$A$91,"&gt;="&amp;$A3,Quotidien!$A$2:$A$91,"&lt;="&amp;$B3)/60</f>
        <v>2.26666666666667</v>
      </c>
      <c r="P3" s="10" t="n">
        <f aca="false">SUMIFS(Quotidien!$P$2:$P$91,Quotidien!$A$2:$A$91,"&gt;="&amp;$A3,Quotidien!$A$2:$A$91,"&lt;="&amp;$B3)/60</f>
        <v>11.5</v>
      </c>
      <c r="Q3" s="10" t="n">
        <f aca="false">IFERROR(AVERAGEIFS(Quotidien!$Q$2:$Q$91,Quotidien!$A$2:$A$91,"&gt;="&amp;$A3,Quotidien!$A$2:$A$91,"&lt;="&amp;$B3),"")</f>
        <v>7.06206896551724</v>
      </c>
      <c r="R3" s="18" t="n">
        <f aca="false">IFERROR(AVERAGEIFS(Quotidien!$S$2:$S$91,Quotidien!$A$2:$A$91,"&gt;="&amp;$A3,Quotidien!$A$2:$A$91,"&lt;="&amp;$B3),"")</f>
        <v>3.03448275862069</v>
      </c>
      <c r="S3" s="18" t="n">
        <f aca="false">IFERROR(AVERAGEIFS(Quotidien!$U$2:$U$91,Quotidien!$A$2:$A$91,"&gt;="&amp;$A3,Quotidien!$A$2:$A$91,"&lt;="&amp;$B3),"")</f>
        <v>3.27586206896552</v>
      </c>
      <c r="T3" s="10" t="n">
        <f aca="false">IFERROR(AVERAGEIFS(Intentions!$J$2:$J$344,Intentions!$B$2:$B$344,"&gt;="&amp;$A3,Intentions!$B$2:$B$344,"&lt;="&amp;$B3),"")</f>
        <v>5.40740740740741</v>
      </c>
    </row>
    <row r="4" customFormat="false" ht="15" hidden="false" customHeight="false" outlineLevel="0" collapsed="false">
      <c r="A4" s="15" t="n">
        <v>46266</v>
      </c>
      <c r="B4" s="15" t="n">
        <f aca="false">EOMONTH(A4,0)</f>
        <v>46295</v>
      </c>
      <c r="C4" s="11" t="n">
        <f aca="false">COUNTIFS(Quotidien!$A$2:$A$91,"&gt;="&amp;$A4,Quotidien!$A$2:$A$91,"&lt;="&amp;$B4,Quotidien!$C$2:$C$91,"Oui")</f>
        <v>25</v>
      </c>
      <c r="D4" s="12" t="n">
        <f aca="false">IFERROR(C4/COUNTIFS(Quotidien!$A$2:$A$91,"&gt;="&amp;$A4,Quotidien!$A$2:$A$91,"&lt;="&amp;$B4),"")</f>
        <v>0.833333333333333</v>
      </c>
      <c r="E4" s="11" t="n">
        <f aca="false">SUMIFS(Quotidien!$D$2:$D$91,Quotidien!$A$2:$A$91,"&gt;="&amp;$A4,Quotidien!$A$2:$A$91,"&lt;="&amp;$B4)</f>
        <v>111</v>
      </c>
      <c r="F4" s="11" t="n">
        <f aca="false">SUMIFS(Quotidien!$E$2:$E$91,Quotidien!$A$2:$A$91,"&gt;="&amp;$A4,Quotidien!$A$2:$A$91,"&lt;="&amp;$B4)</f>
        <v>111</v>
      </c>
      <c r="G4" s="11" t="n">
        <f aca="false">SUMIFS(Quotidien!$F$2:$F$91,Quotidien!$A$2:$A$91,"&gt;="&amp;$A4,Quotidien!$A$2:$A$91,"&lt;="&amp;$B4)</f>
        <v>48</v>
      </c>
      <c r="H4" s="12" t="n">
        <f aca="false">IF(F4=0,"",SUMIFS(Intentions!$K$2:$K$344,Intentions!$B$2:$B$344,"&gt;="&amp;$A4,Intentions!$B$2:$B$344,"&lt;="&amp;$B4)/F4)</f>
        <v>0.36036036036036</v>
      </c>
      <c r="I4" s="10" t="n">
        <f aca="false">SUMIFS(Quotidien!$I$2:$I$91,Quotidien!$A$2:$A$91,"&gt;="&amp;$A4,Quotidien!$A$2:$A$91,"&lt;="&amp;$B4)/60</f>
        <v>47.6666666666667</v>
      </c>
      <c r="J4" s="10" t="n">
        <f aca="false">SUMIFS(Quotidien!$J$2:$J$91,Quotidien!$A$2:$A$91,"&gt;="&amp;$A4,Quotidien!$A$2:$A$91,"&lt;="&amp;$B4)/60</f>
        <v>3.7</v>
      </c>
      <c r="K4" s="10" t="n">
        <f aca="false">SUMIFS(Quotidien!$K$2:$K$91,Quotidien!$A$2:$A$91,"&gt;="&amp;$A4,Quotidien!$A$2:$A$91,"&lt;="&amp;$B4)/60</f>
        <v>1.81666666666667</v>
      </c>
      <c r="L4" s="10" t="n">
        <f aca="false">SUMIFS(Quotidien!$L$2:$L$91,Quotidien!$A$2:$A$91,"&gt;="&amp;$A4,Quotidien!$A$2:$A$91,"&lt;="&amp;$B4)/60</f>
        <v>14.1166666666667</v>
      </c>
      <c r="M4" s="10" t="n">
        <f aca="false">SUMIFS(Quotidien!$M$2:$M$91,Quotidien!$A$2:$A$91,"&gt;="&amp;$A4,Quotidien!$A$2:$A$91,"&lt;="&amp;$B4)/60</f>
        <v>7.58333333333333</v>
      </c>
      <c r="N4" s="10" t="n">
        <f aca="false">SUMIFS(Quotidien!$N$2:$N$91,Quotidien!$A$2:$A$91,"&gt;="&amp;$A4,Quotidien!$A$2:$A$91,"&lt;="&amp;$B4)/60</f>
        <v>1.46666666666667</v>
      </c>
      <c r="O4" s="10" t="n">
        <f aca="false">SUMIFS(Quotidien!$O$2:$O$91,Quotidien!$A$2:$A$91,"&gt;="&amp;$A4,Quotidien!$A$2:$A$91,"&lt;="&amp;$B4)/60</f>
        <v>2.21666666666667</v>
      </c>
      <c r="P4" s="10" t="n">
        <f aca="false">SUMIFS(Quotidien!$P$2:$P$91,Quotidien!$A$2:$A$91,"&gt;="&amp;$A4,Quotidien!$A$2:$A$91,"&lt;="&amp;$B4)/60</f>
        <v>16.7666666666667</v>
      </c>
      <c r="Q4" s="10" t="n">
        <f aca="false">IFERROR(AVERAGEIFS(Quotidien!$Q$2:$Q$91,Quotidien!$A$2:$A$91,"&gt;="&amp;$A4,Quotidien!$A$2:$A$91,"&lt;="&amp;$B4),"")</f>
        <v>6.744</v>
      </c>
      <c r="R4" s="18" t="n">
        <f aca="false">IFERROR(AVERAGEIFS(Quotidien!$S$2:$S$91,Quotidien!$A$2:$A$91,"&gt;="&amp;$A4,Quotidien!$A$2:$A$91,"&lt;="&amp;$B4),"")</f>
        <v>3</v>
      </c>
      <c r="S4" s="18" t="n">
        <f aca="false">IFERROR(AVERAGEIFS(Quotidien!$U$2:$U$91,Quotidien!$A$2:$A$91,"&gt;="&amp;$A4,Quotidien!$A$2:$A$91,"&lt;="&amp;$B4),"")</f>
        <v>2.92</v>
      </c>
      <c r="T4" s="10" t="n">
        <f aca="false">IFERROR(AVERAGEIFS(Intentions!$J$2:$J$344,Intentions!$B$2:$B$344,"&gt;="&amp;$A4,Intentions!$B$2:$B$344,"&lt;="&amp;$B4),"")</f>
        <v>2.60416666666667</v>
      </c>
    </row>
    <row r="5" customFormat="false" ht="15" hidden="false" customHeight="false" outlineLevel="0" collapsed="false">
      <c r="A5" s="15" t="n">
        <v>46296</v>
      </c>
      <c r="B5" s="15" t="n">
        <f aca="false">EOMONTH(A5,0)</f>
        <v>46326</v>
      </c>
      <c r="C5" s="11" t="n">
        <f aca="false">COUNTIFS(Quotidien!$A$2:$A$91,"&gt;="&amp;$A5,Quotidien!$A$2:$A$91,"&lt;="&amp;$B5,Quotidien!$C$2:$C$91,"Oui")</f>
        <v>6</v>
      </c>
      <c r="D5" s="12" t="n">
        <f aca="false">IFERROR(C5/COUNTIFS(Quotidien!$A$2:$A$91,"&gt;="&amp;$A5,Quotidien!$A$2:$A$91,"&lt;="&amp;$B5),"")</f>
        <v>0.6</v>
      </c>
      <c r="E5" s="11" t="n">
        <f aca="false">SUMIFS(Quotidien!$D$2:$D$91,Quotidien!$A$2:$A$91,"&gt;="&amp;$A5,Quotidien!$A$2:$A$91,"&lt;="&amp;$B5)</f>
        <v>31</v>
      </c>
      <c r="F5" s="11" t="n">
        <f aca="false">SUMIFS(Quotidien!$E$2:$E$91,Quotidien!$A$2:$A$91,"&gt;="&amp;$A5,Quotidien!$A$2:$A$91,"&lt;="&amp;$B5)</f>
        <v>31</v>
      </c>
      <c r="G5" s="11" t="n">
        <f aca="false">SUMIFS(Quotidien!$F$2:$F$91,Quotidien!$A$2:$A$91,"&gt;="&amp;$A5,Quotidien!$A$2:$A$91,"&lt;="&amp;$B5)</f>
        <v>18</v>
      </c>
      <c r="H5" s="12" t="n">
        <f aca="false">IF(F5=0,"",SUMIFS(Intentions!$K$2:$K$344,Intentions!$B$2:$B$344,"&gt;="&amp;$A5,Intentions!$B$2:$B$344,"&lt;="&amp;$B5)/F5)</f>
        <v>0.5</v>
      </c>
      <c r="I5" s="10" t="n">
        <f aca="false">SUMIFS(Quotidien!$I$2:$I$91,Quotidien!$A$2:$A$91,"&gt;="&amp;$A5,Quotidien!$A$2:$A$91,"&lt;="&amp;$B5)/60</f>
        <v>15.1</v>
      </c>
      <c r="J5" s="10" t="n">
        <f aca="false">SUMIFS(Quotidien!$J$2:$J$91,Quotidien!$A$2:$A$91,"&gt;="&amp;$A5,Quotidien!$A$2:$A$91,"&lt;="&amp;$B5)/60</f>
        <v>1.31666666666667</v>
      </c>
      <c r="K5" s="10" t="n">
        <f aca="false">SUMIFS(Quotidien!$K$2:$K$91,Quotidien!$A$2:$A$91,"&gt;="&amp;$A5,Quotidien!$A$2:$A$91,"&lt;="&amp;$B5)/60</f>
        <v>0.5</v>
      </c>
      <c r="L5" s="10" t="n">
        <f aca="false">SUMIFS(Quotidien!$L$2:$L$91,Quotidien!$A$2:$A$91,"&gt;="&amp;$A5,Quotidien!$A$2:$A$91,"&lt;="&amp;$B5)/60</f>
        <v>10.2166666666667</v>
      </c>
      <c r="M5" s="10" t="n">
        <f aca="false">SUMIFS(Quotidien!$M$2:$M$91,Quotidien!$A$2:$A$91,"&gt;="&amp;$A5,Quotidien!$A$2:$A$91,"&lt;="&amp;$B5)/60</f>
        <v>0.6</v>
      </c>
      <c r="N5" s="10" t="n">
        <f aca="false">SUMIFS(Quotidien!$N$2:$N$91,Quotidien!$A$2:$A$91,"&gt;="&amp;$A5,Quotidien!$A$2:$A$91,"&lt;="&amp;$B5)/60</f>
        <v>0.483333333333333</v>
      </c>
      <c r="O5" s="10" t="n">
        <f aca="false">SUMIFS(Quotidien!$O$2:$O$91,Quotidien!$A$2:$A$91,"&gt;="&amp;$A5,Quotidien!$A$2:$A$91,"&lt;="&amp;$B5)/60</f>
        <v>0.983333333333333</v>
      </c>
      <c r="P5" s="10" t="n">
        <f aca="false">SUMIFS(Quotidien!$P$2:$P$91,Quotidien!$A$2:$A$91,"&gt;="&amp;$A5,Quotidien!$A$2:$A$91,"&lt;="&amp;$B5)/60</f>
        <v>1</v>
      </c>
      <c r="Q5" s="10" t="n">
        <f aca="false">IFERROR(AVERAGEIFS(Quotidien!$Q$2:$Q$91,Quotidien!$A$2:$A$91,"&gt;="&amp;$A5,Quotidien!$A$2:$A$91,"&lt;="&amp;$B5),"")</f>
        <v>6.56666666666667</v>
      </c>
      <c r="R5" s="18" t="n">
        <f aca="false">IFERROR(AVERAGEIFS(Quotidien!$S$2:$S$91,Quotidien!$A$2:$A$91,"&gt;="&amp;$A5,Quotidien!$A$2:$A$91,"&lt;="&amp;$B5),"")</f>
        <v>2.83333333333333</v>
      </c>
      <c r="S5" s="18" t="n">
        <f aca="false">IFERROR(AVERAGEIFS(Quotidien!$U$2:$U$91,Quotidien!$A$2:$A$91,"&gt;="&amp;$A5,Quotidien!$A$2:$A$91,"&lt;="&amp;$B5),"")</f>
        <v>3.83333333333333</v>
      </c>
      <c r="T5" s="10" t="n">
        <f aca="false">IFERROR(AVERAGEIFS(Intentions!$J$2:$J$344,Intentions!$B$2:$B$344,"&gt;="&amp;$A5,Intentions!$B$2:$B$344,"&lt;="&amp;$B5),"")</f>
        <v>-3.55555555555556</v>
      </c>
    </row>
  </sheetData>
  <autoFilter ref="A1:T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4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26"/>
    <col collapsed="false" customWidth="true" hidden="false" outlineLevel="0" max="14" min="14" style="0" width="30"/>
  </cols>
  <sheetData>
    <row r="1" customFormat="false" ht="30" hidden="false" customHeight="true" outlineLevel="0" collapsed="false">
      <c r="A1" s="9" t="s">
        <v>92</v>
      </c>
      <c r="B1" s="9" t="s">
        <v>46</v>
      </c>
      <c r="C1" s="9" t="s">
        <v>20</v>
      </c>
      <c r="D1" s="9" t="s">
        <v>93</v>
      </c>
      <c r="E1" s="9" t="s">
        <v>94</v>
      </c>
      <c r="F1" s="9" t="s">
        <v>95</v>
      </c>
      <c r="G1" s="9" t="s">
        <v>96</v>
      </c>
      <c r="H1" s="9" t="s">
        <v>97</v>
      </c>
      <c r="I1" s="9" t="s">
        <v>98</v>
      </c>
      <c r="J1" s="9" t="s">
        <v>99</v>
      </c>
      <c r="K1" s="9" t="s">
        <v>100</v>
      </c>
      <c r="L1" s="9" t="s">
        <v>101</v>
      </c>
      <c r="M1" s="9" t="s">
        <v>102</v>
      </c>
      <c r="N1" s="9" t="s">
        <v>103</v>
      </c>
    </row>
    <row r="2" customFormat="false" ht="23.85" hidden="false" customHeight="false" outlineLevel="0" collapsed="false">
      <c r="A2" s="4" t="n">
        <v>268</v>
      </c>
      <c r="B2" s="15" t="n">
        <v>46216</v>
      </c>
      <c r="C2" s="4" t="s">
        <v>26</v>
      </c>
      <c r="D2" s="4" t="s">
        <v>104</v>
      </c>
      <c r="E2" s="17" t="s">
        <v>105</v>
      </c>
      <c r="F2" s="4" t="s">
        <v>106</v>
      </c>
      <c r="G2" s="11" t="n">
        <v>120</v>
      </c>
      <c r="H2" s="4" t="s">
        <v>107</v>
      </c>
      <c r="I2" s="11"/>
      <c r="J2" s="11" t="str">
        <f aca="false">IF(AND(ISNUMBER(G2),ISNUMBER(I2)),I2-G2,"")</f>
        <v/>
      </c>
      <c r="K2" s="10" t="n">
        <f aca="false">IF(H2="Réalisé",1,IF(H2="Partiel",0.5,IF(H2="Prévu","",0)))</f>
        <v>0</v>
      </c>
      <c r="L2" s="17"/>
      <c r="M2" s="17" t="s">
        <v>108</v>
      </c>
      <c r="N2" s="17" t="s">
        <v>109</v>
      </c>
    </row>
    <row r="3" customFormat="false" ht="23.85" hidden="false" customHeight="false" outlineLevel="0" collapsed="false">
      <c r="A3" s="4" t="n">
        <v>269</v>
      </c>
      <c r="B3" s="15" t="n">
        <v>46216</v>
      </c>
      <c r="C3" s="4" t="s">
        <v>26</v>
      </c>
      <c r="D3" s="4" t="s">
        <v>110</v>
      </c>
      <c r="E3" s="17" t="s">
        <v>111</v>
      </c>
      <c r="F3" s="4" t="s">
        <v>112</v>
      </c>
      <c r="G3" s="11" t="n">
        <v>60</v>
      </c>
      <c r="H3" s="4" t="s">
        <v>113</v>
      </c>
      <c r="I3" s="11" t="n">
        <v>63</v>
      </c>
      <c r="J3" s="11" t="n">
        <f aca="false">IF(AND(ISNUMBER(G3),ISNUMBER(I3)),I3-G3,"")</f>
        <v>3</v>
      </c>
      <c r="K3" s="10" t="n">
        <f aca="false">IF(H3="Réalisé",1,IF(H3="Partiel",0.5,IF(H3="Prévu","",0)))</f>
        <v>1</v>
      </c>
      <c r="L3" s="17"/>
      <c r="M3" s="17"/>
      <c r="N3" s="17" t="s">
        <v>109</v>
      </c>
    </row>
    <row r="4" customFormat="false" ht="15" hidden="false" customHeight="false" outlineLevel="0" collapsed="false">
      <c r="A4" s="4" t="n">
        <v>270</v>
      </c>
      <c r="B4" s="15" t="n">
        <v>46217</v>
      </c>
      <c r="C4" s="4" t="s">
        <v>28</v>
      </c>
      <c r="D4" s="4" t="s">
        <v>114</v>
      </c>
      <c r="E4" s="17" t="s">
        <v>115</v>
      </c>
      <c r="F4" s="4" t="s">
        <v>106</v>
      </c>
      <c r="G4" s="11" t="n">
        <v>30</v>
      </c>
      <c r="H4" s="4" t="s">
        <v>107</v>
      </c>
      <c r="I4" s="11"/>
      <c r="J4" s="11" t="str">
        <f aca="false">IF(AND(ISNUMBER(G4),ISNUMBER(I4)),I4-G4,"")</f>
        <v/>
      </c>
      <c r="K4" s="10" t="n">
        <f aca="false">IF(H4="Réalisé",1,IF(H4="Partiel",0.5,IF(H4="Prévu","",0)))</f>
        <v>0</v>
      </c>
      <c r="L4" s="17"/>
      <c r="M4" s="17" t="s">
        <v>116</v>
      </c>
      <c r="N4" s="17"/>
    </row>
    <row r="5" customFormat="false" ht="15" hidden="false" customHeight="false" outlineLevel="0" collapsed="false">
      <c r="A5" s="4" t="n">
        <v>271</v>
      </c>
      <c r="B5" s="15" t="n">
        <v>46217</v>
      </c>
      <c r="C5" s="4" t="s">
        <v>25</v>
      </c>
      <c r="D5" s="4" t="s">
        <v>117</v>
      </c>
      <c r="E5" s="17" t="s">
        <v>118</v>
      </c>
      <c r="F5" s="4" t="s">
        <v>106</v>
      </c>
      <c r="G5" s="11" t="n">
        <v>40</v>
      </c>
      <c r="H5" s="4" t="s">
        <v>119</v>
      </c>
      <c r="I5" s="11"/>
      <c r="J5" s="11" t="str">
        <f aca="false">IF(AND(ISNUMBER(G5),ISNUMBER(I5)),I5-G5,"")</f>
        <v/>
      </c>
      <c r="K5" s="10" t="n">
        <f aca="false">IF(H5="Réalisé",1,IF(H5="Partiel",0.5,IF(H5="Prévu","",0)))</f>
        <v>0</v>
      </c>
      <c r="L5" s="17"/>
      <c r="M5" s="17" t="s">
        <v>108</v>
      </c>
      <c r="N5" s="17"/>
    </row>
    <row r="6" customFormat="false" ht="15" hidden="false" customHeight="false" outlineLevel="0" collapsed="false">
      <c r="A6" s="4" t="n">
        <v>272</v>
      </c>
      <c r="B6" s="15" t="n">
        <v>46217</v>
      </c>
      <c r="C6" s="4" t="s">
        <v>30</v>
      </c>
      <c r="D6" s="4" t="s">
        <v>120</v>
      </c>
      <c r="E6" s="17" t="s">
        <v>121</v>
      </c>
      <c r="F6" s="4" t="s">
        <v>106</v>
      </c>
      <c r="G6" s="11" t="n">
        <v>30</v>
      </c>
      <c r="H6" s="4" t="s">
        <v>119</v>
      </c>
      <c r="I6" s="11"/>
      <c r="J6" s="11" t="str">
        <f aca="false">IF(AND(ISNUMBER(G6),ISNUMBER(I6)),I6-G6,"")</f>
        <v/>
      </c>
      <c r="K6" s="10" t="n">
        <f aca="false">IF(H6="Réalisé",1,IF(H6="Partiel",0.5,IF(H6="Prévu","",0)))</f>
        <v>0</v>
      </c>
      <c r="L6" s="17"/>
      <c r="M6" s="17" t="s">
        <v>116</v>
      </c>
      <c r="N6" s="17"/>
    </row>
    <row r="7" customFormat="false" ht="15" hidden="false" customHeight="false" outlineLevel="0" collapsed="false">
      <c r="A7" s="4" t="n">
        <v>273</v>
      </c>
      <c r="B7" s="15" t="n">
        <v>46218</v>
      </c>
      <c r="C7" s="4" t="s">
        <v>30</v>
      </c>
      <c r="D7" s="4" t="s">
        <v>120</v>
      </c>
      <c r="E7" s="17" t="s">
        <v>121</v>
      </c>
      <c r="F7" s="4" t="s">
        <v>122</v>
      </c>
      <c r="G7" s="11" t="n">
        <v>30</v>
      </c>
      <c r="H7" s="4" t="s">
        <v>113</v>
      </c>
      <c r="I7" s="11" t="n">
        <v>31</v>
      </c>
      <c r="J7" s="11" t="n">
        <f aca="false">IF(AND(ISNUMBER(G7),ISNUMBER(I7)),I7-G7,"")</f>
        <v>1</v>
      </c>
      <c r="K7" s="10" t="n">
        <f aca="false">IF(H7="Réalisé",1,IF(H7="Partiel",0.5,IF(H7="Prévu","",0)))</f>
        <v>1</v>
      </c>
      <c r="L7" s="17"/>
      <c r="M7" s="17"/>
      <c r="N7" s="17"/>
    </row>
    <row r="8" customFormat="false" ht="23.85" hidden="false" customHeight="false" outlineLevel="0" collapsed="false">
      <c r="A8" s="4" t="n">
        <v>274</v>
      </c>
      <c r="B8" s="15" t="n">
        <v>46218</v>
      </c>
      <c r="C8" s="4" t="s">
        <v>26</v>
      </c>
      <c r="D8" s="4" t="s">
        <v>110</v>
      </c>
      <c r="E8" s="17" t="s">
        <v>111</v>
      </c>
      <c r="F8" s="4" t="s">
        <v>122</v>
      </c>
      <c r="G8" s="11" t="n">
        <v>60</v>
      </c>
      <c r="H8" s="4" t="s">
        <v>113</v>
      </c>
      <c r="I8" s="11" t="n">
        <v>116</v>
      </c>
      <c r="J8" s="11" t="n">
        <f aca="false">IF(AND(ISNUMBER(G8),ISNUMBER(I8)),I8-G8,"")</f>
        <v>56</v>
      </c>
      <c r="K8" s="10" t="n">
        <f aca="false">IF(H8="Réalisé",1,IF(H8="Partiel",0.5,IF(H8="Prévu","",0)))</f>
        <v>1</v>
      </c>
      <c r="L8" s="17"/>
      <c r="M8" s="17"/>
      <c r="N8" s="17" t="s">
        <v>109</v>
      </c>
    </row>
    <row r="9" customFormat="false" ht="15" hidden="false" customHeight="false" outlineLevel="0" collapsed="false">
      <c r="A9" s="4" t="n">
        <v>275</v>
      </c>
      <c r="B9" s="15" t="n">
        <v>46218</v>
      </c>
      <c r="C9" s="4" t="s">
        <v>25</v>
      </c>
      <c r="D9" s="4" t="s">
        <v>117</v>
      </c>
      <c r="E9" s="17" t="s">
        <v>118</v>
      </c>
      <c r="F9" s="4" t="s">
        <v>106</v>
      </c>
      <c r="G9" s="11" t="n">
        <v>40</v>
      </c>
      <c r="H9" s="4" t="s">
        <v>113</v>
      </c>
      <c r="I9" s="11" t="n">
        <v>35</v>
      </c>
      <c r="J9" s="11" t="n">
        <f aca="false">IF(AND(ISNUMBER(G9),ISNUMBER(I9)),I9-G9,"")</f>
        <v>-5</v>
      </c>
      <c r="K9" s="10" t="n">
        <f aca="false">IF(H9="Réalisé",1,IF(H9="Partiel",0.5,IF(H9="Prévu","",0)))</f>
        <v>1</v>
      </c>
      <c r="L9" s="17"/>
      <c r="M9" s="17"/>
      <c r="N9" s="17"/>
    </row>
    <row r="10" customFormat="false" ht="15" hidden="false" customHeight="false" outlineLevel="0" collapsed="false">
      <c r="A10" s="4" t="n">
        <v>276</v>
      </c>
      <c r="B10" s="15" t="n">
        <v>46219</v>
      </c>
      <c r="C10" s="4" t="s">
        <v>28</v>
      </c>
      <c r="D10" s="4" t="s">
        <v>114</v>
      </c>
      <c r="E10" s="17" t="s">
        <v>115</v>
      </c>
      <c r="F10" s="4" t="s">
        <v>122</v>
      </c>
      <c r="G10" s="11" t="n">
        <v>30</v>
      </c>
      <c r="H10" s="4" t="s">
        <v>113</v>
      </c>
      <c r="I10" s="11" t="n">
        <v>15</v>
      </c>
      <c r="J10" s="11" t="n">
        <f aca="false">IF(AND(ISNUMBER(G10),ISNUMBER(I10)),I10-G10,"")</f>
        <v>-15</v>
      </c>
      <c r="K10" s="10" t="n">
        <f aca="false">IF(H10="Réalisé",1,IF(H10="Partiel",0.5,IF(H10="Prévu","",0)))</f>
        <v>1</v>
      </c>
      <c r="L10" s="17"/>
      <c r="M10" s="17"/>
      <c r="N10" s="17"/>
    </row>
    <row r="11" customFormat="false" ht="23.85" hidden="false" customHeight="false" outlineLevel="0" collapsed="false">
      <c r="A11" s="4" t="n">
        <v>277</v>
      </c>
      <c r="B11" s="15" t="n">
        <v>46219</v>
      </c>
      <c r="C11" s="4" t="s">
        <v>26</v>
      </c>
      <c r="D11" s="4" t="s">
        <v>110</v>
      </c>
      <c r="E11" s="17" t="s">
        <v>111</v>
      </c>
      <c r="F11" s="4" t="s">
        <v>112</v>
      </c>
      <c r="G11" s="11" t="n">
        <v>60</v>
      </c>
      <c r="H11" s="4" t="s">
        <v>123</v>
      </c>
      <c r="I11" s="11"/>
      <c r="J11" s="11" t="str">
        <f aca="false">IF(AND(ISNUMBER(G11),ISNUMBER(I11)),I11-G11,"")</f>
        <v/>
      </c>
      <c r="K11" s="10" t="n">
        <f aca="false">IF(H11="Réalisé",1,IF(H11="Partiel",0.5,IF(H11="Prévu","",0)))</f>
        <v>0</v>
      </c>
      <c r="L11" s="17"/>
      <c r="M11" s="17" t="s">
        <v>116</v>
      </c>
      <c r="N11" s="17" t="s">
        <v>109</v>
      </c>
    </row>
    <row r="12" customFormat="false" ht="15" hidden="false" customHeight="false" outlineLevel="0" collapsed="false">
      <c r="A12" s="4" t="n">
        <v>278</v>
      </c>
      <c r="B12" s="15" t="n">
        <v>46219</v>
      </c>
      <c r="C12" s="4" t="s">
        <v>29</v>
      </c>
      <c r="D12" s="4" t="s">
        <v>124</v>
      </c>
      <c r="E12" s="17" t="s">
        <v>125</v>
      </c>
      <c r="F12" s="4" t="s">
        <v>106</v>
      </c>
      <c r="G12" s="11" t="n">
        <v>20</v>
      </c>
      <c r="H12" s="4" t="s">
        <v>119</v>
      </c>
      <c r="I12" s="11"/>
      <c r="J12" s="11" t="str">
        <f aca="false">IF(AND(ISNUMBER(G12),ISNUMBER(I12)),I12-G12,"")</f>
        <v/>
      </c>
      <c r="K12" s="10" t="n">
        <f aca="false">IF(H12="Réalisé",1,IF(H12="Partiel",0.5,IF(H12="Prévu","",0)))</f>
        <v>0</v>
      </c>
      <c r="L12" s="17"/>
      <c r="M12" s="17" t="s">
        <v>116</v>
      </c>
      <c r="N12" s="17"/>
    </row>
    <row r="13" customFormat="false" ht="15" hidden="false" customHeight="false" outlineLevel="0" collapsed="false">
      <c r="A13" s="4" t="n">
        <v>279</v>
      </c>
      <c r="B13" s="15" t="n">
        <v>46219</v>
      </c>
      <c r="C13" s="4" t="s">
        <v>24</v>
      </c>
      <c r="D13" s="4" t="s">
        <v>126</v>
      </c>
      <c r="E13" s="17" t="s">
        <v>127</v>
      </c>
      <c r="F13" s="4" t="s">
        <v>122</v>
      </c>
      <c r="G13" s="11" t="n">
        <v>20</v>
      </c>
      <c r="H13" s="4" t="s">
        <v>113</v>
      </c>
      <c r="I13" s="11" t="n">
        <v>27</v>
      </c>
      <c r="J13" s="11" t="n">
        <f aca="false">IF(AND(ISNUMBER(G13),ISNUMBER(I13)),I13-G13,"")</f>
        <v>7</v>
      </c>
      <c r="K13" s="10" t="n">
        <f aca="false">IF(H13="Réalisé",1,IF(H13="Partiel",0.5,IF(H13="Prévu","",0)))</f>
        <v>1</v>
      </c>
      <c r="L13" s="17"/>
      <c r="M13" s="17"/>
      <c r="N13" s="17" t="s">
        <v>128</v>
      </c>
    </row>
    <row r="14" customFormat="false" ht="15" hidden="false" customHeight="false" outlineLevel="0" collapsed="false">
      <c r="A14" s="4" t="n">
        <v>280</v>
      </c>
      <c r="B14" s="15" t="n">
        <v>46219</v>
      </c>
      <c r="C14" s="4" t="s">
        <v>27</v>
      </c>
      <c r="D14" s="4" t="s">
        <v>129</v>
      </c>
      <c r="E14" s="17" t="s">
        <v>130</v>
      </c>
      <c r="F14" s="4" t="s">
        <v>112</v>
      </c>
      <c r="G14" s="11" t="n">
        <v>60</v>
      </c>
      <c r="H14" s="4" t="s">
        <v>119</v>
      </c>
      <c r="I14" s="11"/>
      <c r="J14" s="11" t="str">
        <f aca="false">IF(AND(ISNUMBER(G14),ISNUMBER(I14)),I14-G14,"")</f>
        <v/>
      </c>
      <c r="K14" s="10" t="n">
        <f aca="false">IF(H14="Réalisé",1,IF(H14="Partiel",0.5,IF(H14="Prévu","",0)))</f>
        <v>0</v>
      </c>
      <c r="L14" s="17"/>
      <c r="M14" s="17" t="s">
        <v>131</v>
      </c>
      <c r="N14" s="17"/>
    </row>
    <row r="15" customFormat="false" ht="15" hidden="false" customHeight="false" outlineLevel="0" collapsed="false">
      <c r="A15" s="4" t="n">
        <v>281</v>
      </c>
      <c r="B15" s="15" t="n">
        <v>46219</v>
      </c>
      <c r="C15" s="4" t="s">
        <v>24</v>
      </c>
      <c r="D15" s="4" t="s">
        <v>132</v>
      </c>
      <c r="E15" s="17" t="s">
        <v>133</v>
      </c>
      <c r="F15" s="4" t="s">
        <v>122</v>
      </c>
      <c r="G15" s="11" t="n">
        <v>15</v>
      </c>
      <c r="H15" s="4" t="s">
        <v>113</v>
      </c>
      <c r="I15" s="11" t="n">
        <v>17</v>
      </c>
      <c r="J15" s="11" t="n">
        <f aca="false">IF(AND(ISNUMBER(G15),ISNUMBER(I15)),I15-G15,"")</f>
        <v>2</v>
      </c>
      <c r="K15" s="10" t="n">
        <f aca="false">IF(H15="Réalisé",1,IF(H15="Partiel",0.5,IF(H15="Prévu","",0)))</f>
        <v>1</v>
      </c>
      <c r="L15" s="17"/>
      <c r="M15" s="17"/>
      <c r="N15" s="17"/>
    </row>
    <row r="16" customFormat="false" ht="15" hidden="false" customHeight="false" outlineLevel="0" collapsed="false">
      <c r="A16" s="4" t="n">
        <v>282</v>
      </c>
      <c r="B16" s="15" t="n">
        <v>46221</v>
      </c>
      <c r="C16" s="4" t="s">
        <v>24</v>
      </c>
      <c r="D16" s="4" t="s">
        <v>132</v>
      </c>
      <c r="E16" s="17" t="s">
        <v>133</v>
      </c>
      <c r="F16" s="4" t="s">
        <v>106</v>
      </c>
      <c r="G16" s="11" t="n">
        <v>15</v>
      </c>
      <c r="H16" s="4" t="s">
        <v>134</v>
      </c>
      <c r="I16" s="11" t="n">
        <v>12</v>
      </c>
      <c r="J16" s="11" t="n">
        <f aca="false">IF(AND(ISNUMBER(G16),ISNUMBER(I16)),I16-G16,"")</f>
        <v>-3</v>
      </c>
      <c r="K16" s="10" t="n">
        <f aca="false">IF(H16="Réalisé",1,IF(H16="Partiel",0.5,IF(H16="Prévu","",0)))</f>
        <v>0.5</v>
      </c>
      <c r="L16" s="17"/>
      <c r="M16" s="17"/>
      <c r="N16" s="17"/>
    </row>
    <row r="17" customFormat="false" ht="15" hidden="false" customHeight="false" outlineLevel="0" collapsed="false">
      <c r="A17" s="4" t="n">
        <v>283</v>
      </c>
      <c r="B17" s="15" t="n">
        <v>46221</v>
      </c>
      <c r="C17" s="4" t="s">
        <v>27</v>
      </c>
      <c r="D17" s="4" t="s">
        <v>135</v>
      </c>
      <c r="E17" s="17" t="s">
        <v>136</v>
      </c>
      <c r="F17" s="4" t="s">
        <v>122</v>
      </c>
      <c r="G17" s="11" t="n">
        <v>45</v>
      </c>
      <c r="H17" s="4" t="s">
        <v>107</v>
      </c>
      <c r="I17" s="11"/>
      <c r="J17" s="11" t="str">
        <f aca="false">IF(AND(ISNUMBER(G17),ISNUMBER(I17)),I17-G17,"")</f>
        <v/>
      </c>
      <c r="K17" s="10" t="n">
        <f aca="false">IF(H17="Réalisé",1,IF(H17="Partiel",0.5,IF(H17="Prévu","",0)))</f>
        <v>0</v>
      </c>
      <c r="L17" s="17"/>
      <c r="M17" s="17" t="s">
        <v>137</v>
      </c>
      <c r="N17" s="17" t="s">
        <v>138</v>
      </c>
    </row>
    <row r="18" customFormat="false" ht="23.85" hidden="false" customHeight="false" outlineLevel="0" collapsed="false">
      <c r="A18" s="4" t="n">
        <v>284</v>
      </c>
      <c r="B18" s="15" t="n">
        <v>46221</v>
      </c>
      <c r="C18" s="4" t="s">
        <v>26</v>
      </c>
      <c r="D18" s="4" t="s">
        <v>110</v>
      </c>
      <c r="E18" s="17" t="s">
        <v>111</v>
      </c>
      <c r="F18" s="4" t="s">
        <v>106</v>
      </c>
      <c r="G18" s="11" t="n">
        <v>60</v>
      </c>
      <c r="H18" s="4" t="s">
        <v>113</v>
      </c>
      <c r="I18" s="11" t="n">
        <v>78</v>
      </c>
      <c r="J18" s="11" t="n">
        <f aca="false">IF(AND(ISNUMBER(G18),ISNUMBER(I18)),I18-G18,"")</f>
        <v>18</v>
      </c>
      <c r="K18" s="10" t="n">
        <f aca="false">IF(H18="Réalisé",1,IF(H18="Partiel",0.5,IF(H18="Prévu","",0)))</f>
        <v>1</v>
      </c>
      <c r="L18" s="17" t="s">
        <v>139</v>
      </c>
      <c r="M18" s="17"/>
      <c r="N18" s="17" t="s">
        <v>109</v>
      </c>
    </row>
    <row r="19" customFormat="false" ht="15" hidden="false" customHeight="false" outlineLevel="0" collapsed="false">
      <c r="A19" s="4" t="n">
        <v>285</v>
      </c>
      <c r="B19" s="15" t="n">
        <v>46222</v>
      </c>
      <c r="C19" s="4" t="s">
        <v>26</v>
      </c>
      <c r="D19" s="4" t="s">
        <v>140</v>
      </c>
      <c r="E19" s="17" t="s">
        <v>141</v>
      </c>
      <c r="F19" s="4" t="s">
        <v>112</v>
      </c>
      <c r="G19" s="11" t="n">
        <v>60</v>
      </c>
      <c r="H19" s="4" t="s">
        <v>113</v>
      </c>
      <c r="I19" s="11" t="n">
        <v>87</v>
      </c>
      <c r="J19" s="11" t="n">
        <f aca="false">IF(AND(ISNUMBER(G19),ISNUMBER(I19)),I19-G19,"")</f>
        <v>27</v>
      </c>
      <c r="K19" s="10" t="n">
        <f aca="false">IF(H19="Réalisé",1,IF(H19="Partiel",0.5,IF(H19="Prévu","",0)))</f>
        <v>1</v>
      </c>
      <c r="L19" s="17"/>
      <c r="M19" s="17"/>
      <c r="N19" s="17"/>
    </row>
    <row r="20" customFormat="false" ht="15" hidden="false" customHeight="false" outlineLevel="0" collapsed="false">
      <c r="A20" s="4" t="n">
        <v>286</v>
      </c>
      <c r="B20" s="15" t="n">
        <v>46222</v>
      </c>
      <c r="C20" s="4" t="s">
        <v>26</v>
      </c>
      <c r="D20" s="4" t="s">
        <v>142</v>
      </c>
      <c r="E20" s="17" t="s">
        <v>143</v>
      </c>
      <c r="F20" s="4" t="s">
        <v>122</v>
      </c>
      <c r="G20" s="11" t="n">
        <v>45</v>
      </c>
      <c r="H20" s="4" t="s">
        <v>119</v>
      </c>
      <c r="I20" s="11"/>
      <c r="J20" s="11" t="str">
        <f aca="false">IF(AND(ISNUMBER(G20),ISNUMBER(I20)),I20-G20,"")</f>
        <v/>
      </c>
      <c r="K20" s="10" t="n">
        <f aca="false">IF(H20="Réalisé",1,IF(H20="Partiel",0.5,IF(H20="Prévu","",0)))</f>
        <v>0</v>
      </c>
      <c r="L20" s="17"/>
      <c r="M20" s="17" t="s">
        <v>116</v>
      </c>
      <c r="N20" s="17"/>
    </row>
    <row r="21" customFormat="false" ht="15" hidden="false" customHeight="false" outlineLevel="0" collapsed="false">
      <c r="A21" s="4" t="n">
        <v>287</v>
      </c>
      <c r="B21" s="15" t="n">
        <v>46222</v>
      </c>
      <c r="C21" s="4" t="s">
        <v>24</v>
      </c>
      <c r="D21" s="4" t="s">
        <v>132</v>
      </c>
      <c r="E21" s="17" t="s">
        <v>133</v>
      </c>
      <c r="F21" s="4" t="s">
        <v>112</v>
      </c>
      <c r="G21" s="11" t="n">
        <v>15</v>
      </c>
      <c r="H21" s="4" t="s">
        <v>113</v>
      </c>
      <c r="I21" s="11" t="n">
        <v>21</v>
      </c>
      <c r="J21" s="11" t="n">
        <f aca="false">IF(AND(ISNUMBER(G21),ISNUMBER(I21)),I21-G21,"")</f>
        <v>6</v>
      </c>
      <c r="K21" s="10" t="n">
        <f aca="false">IF(H21="Réalisé",1,IF(H21="Partiel",0.5,IF(H21="Prévu","",0)))</f>
        <v>1</v>
      </c>
      <c r="L21" s="17"/>
      <c r="M21" s="17"/>
      <c r="N21" s="17"/>
    </row>
    <row r="22" customFormat="false" ht="23.85" hidden="false" customHeight="false" outlineLevel="0" collapsed="false">
      <c r="A22" s="4" t="n">
        <v>288</v>
      </c>
      <c r="B22" s="15" t="n">
        <v>46222</v>
      </c>
      <c r="C22" s="4" t="s">
        <v>26</v>
      </c>
      <c r="D22" s="4" t="s">
        <v>110</v>
      </c>
      <c r="E22" s="17" t="s">
        <v>111</v>
      </c>
      <c r="F22" s="4" t="s">
        <v>122</v>
      </c>
      <c r="G22" s="11" t="n">
        <v>60</v>
      </c>
      <c r="H22" s="4" t="s">
        <v>113</v>
      </c>
      <c r="I22" s="11" t="n">
        <v>68</v>
      </c>
      <c r="J22" s="11" t="n">
        <f aca="false">IF(AND(ISNUMBER(G22),ISNUMBER(I22)),I22-G22,"")</f>
        <v>8</v>
      </c>
      <c r="K22" s="10" t="n">
        <f aca="false">IF(H22="Réalisé",1,IF(H22="Partiel",0.5,IF(H22="Prévu","",0)))</f>
        <v>1</v>
      </c>
      <c r="L22" s="17" t="s">
        <v>144</v>
      </c>
      <c r="M22" s="17"/>
      <c r="N22" s="17" t="s">
        <v>109</v>
      </c>
    </row>
    <row r="23" customFormat="false" ht="15" hidden="false" customHeight="false" outlineLevel="0" collapsed="false">
      <c r="A23" s="4" t="n">
        <v>289</v>
      </c>
      <c r="B23" s="15" t="n">
        <v>46223</v>
      </c>
      <c r="C23" s="4" t="s">
        <v>26</v>
      </c>
      <c r="D23" s="4" t="s">
        <v>142</v>
      </c>
      <c r="E23" s="17" t="s">
        <v>143</v>
      </c>
      <c r="F23" s="4" t="s">
        <v>112</v>
      </c>
      <c r="G23" s="11" t="n">
        <v>45</v>
      </c>
      <c r="H23" s="4" t="s">
        <v>134</v>
      </c>
      <c r="I23" s="11" t="n">
        <v>51</v>
      </c>
      <c r="J23" s="11" t="n">
        <f aca="false">IF(AND(ISNUMBER(G23),ISNUMBER(I23)),I23-G23,"")</f>
        <v>6</v>
      </c>
      <c r="K23" s="10" t="n">
        <f aca="false">IF(H23="Réalisé",1,IF(H23="Partiel",0.5,IF(H23="Prévu","",0)))</f>
        <v>0.5</v>
      </c>
      <c r="L23" s="17"/>
      <c r="M23" s="17"/>
      <c r="N23" s="17"/>
    </row>
    <row r="24" customFormat="false" ht="15" hidden="false" customHeight="false" outlineLevel="0" collapsed="false">
      <c r="A24" s="4" t="n">
        <v>290</v>
      </c>
      <c r="B24" s="15" t="n">
        <v>46223</v>
      </c>
      <c r="C24" s="4" t="s">
        <v>24</v>
      </c>
      <c r="D24" s="4" t="s">
        <v>132</v>
      </c>
      <c r="E24" s="17" t="s">
        <v>133</v>
      </c>
      <c r="F24" s="4" t="s">
        <v>106</v>
      </c>
      <c r="G24" s="11" t="n">
        <v>15</v>
      </c>
      <c r="H24" s="4" t="s">
        <v>119</v>
      </c>
      <c r="I24" s="11"/>
      <c r="J24" s="11" t="str">
        <f aca="false">IF(AND(ISNUMBER(G24),ISNUMBER(I24)),I24-G24,"")</f>
        <v/>
      </c>
      <c r="K24" s="10" t="n">
        <f aca="false">IF(H24="Réalisé",1,IF(H24="Partiel",0.5,IF(H24="Prévu","",0)))</f>
        <v>0</v>
      </c>
      <c r="L24" s="17"/>
      <c r="M24" s="17" t="s">
        <v>116</v>
      </c>
      <c r="N24" s="17"/>
    </row>
    <row r="25" customFormat="false" ht="15" hidden="false" customHeight="false" outlineLevel="0" collapsed="false">
      <c r="A25" s="4" t="n">
        <v>291</v>
      </c>
      <c r="B25" s="15" t="n">
        <v>46223</v>
      </c>
      <c r="C25" s="4" t="s">
        <v>26</v>
      </c>
      <c r="D25" s="4" t="s">
        <v>140</v>
      </c>
      <c r="E25" s="17" t="s">
        <v>141</v>
      </c>
      <c r="F25" s="4" t="s">
        <v>106</v>
      </c>
      <c r="G25" s="11" t="n">
        <v>60</v>
      </c>
      <c r="H25" s="4" t="s">
        <v>123</v>
      </c>
      <c r="I25" s="11"/>
      <c r="J25" s="11" t="str">
        <f aca="false">IF(AND(ISNUMBER(G25),ISNUMBER(I25)),I25-G25,"")</f>
        <v/>
      </c>
      <c r="K25" s="10" t="n">
        <f aca="false">IF(H25="Réalisé",1,IF(H25="Partiel",0.5,IF(H25="Prévu","",0)))</f>
        <v>0</v>
      </c>
      <c r="L25" s="17"/>
      <c r="M25" s="17" t="s">
        <v>116</v>
      </c>
      <c r="N25" s="17"/>
    </row>
    <row r="26" customFormat="false" ht="23.85" hidden="false" customHeight="false" outlineLevel="0" collapsed="false">
      <c r="A26" s="4" t="n">
        <v>292</v>
      </c>
      <c r="B26" s="15" t="n">
        <v>46224</v>
      </c>
      <c r="C26" s="4" t="s">
        <v>26</v>
      </c>
      <c r="D26" s="4" t="s">
        <v>104</v>
      </c>
      <c r="E26" s="17" t="s">
        <v>105</v>
      </c>
      <c r="F26" s="4" t="s">
        <v>112</v>
      </c>
      <c r="G26" s="11" t="n">
        <v>120</v>
      </c>
      <c r="H26" s="4" t="s">
        <v>113</v>
      </c>
      <c r="I26" s="11" t="n">
        <v>162</v>
      </c>
      <c r="J26" s="11" t="n">
        <f aca="false">IF(AND(ISNUMBER(G26),ISNUMBER(I26)),I26-G26,"")</f>
        <v>42</v>
      </c>
      <c r="K26" s="10" t="n">
        <f aca="false">IF(H26="Réalisé",1,IF(H26="Partiel",0.5,IF(H26="Prévu","",0)))</f>
        <v>1</v>
      </c>
      <c r="L26" s="17" t="s">
        <v>145</v>
      </c>
      <c r="M26" s="17"/>
      <c r="N26" s="17" t="s">
        <v>109</v>
      </c>
    </row>
    <row r="27" customFormat="false" ht="15" hidden="false" customHeight="false" outlineLevel="0" collapsed="false">
      <c r="A27" s="4" t="n">
        <v>293</v>
      </c>
      <c r="B27" s="15" t="n">
        <v>46224</v>
      </c>
      <c r="C27" s="4" t="s">
        <v>24</v>
      </c>
      <c r="D27" s="4" t="s">
        <v>132</v>
      </c>
      <c r="E27" s="17" t="s">
        <v>133</v>
      </c>
      <c r="F27" s="4" t="s">
        <v>106</v>
      </c>
      <c r="G27" s="11" t="n">
        <v>15</v>
      </c>
      <c r="H27" s="4" t="s">
        <v>113</v>
      </c>
      <c r="I27" s="11" t="n">
        <v>21</v>
      </c>
      <c r="J27" s="11" t="n">
        <f aca="false">IF(AND(ISNUMBER(G27),ISNUMBER(I27)),I27-G27,"")</f>
        <v>6</v>
      </c>
      <c r="K27" s="10" t="n">
        <f aca="false">IF(H27="Réalisé",1,IF(H27="Partiel",0.5,IF(H27="Prévu","",0)))</f>
        <v>1</v>
      </c>
      <c r="L27" s="17"/>
      <c r="M27" s="17"/>
      <c r="N27" s="17"/>
    </row>
    <row r="28" customFormat="false" ht="15" hidden="false" customHeight="false" outlineLevel="0" collapsed="false">
      <c r="A28" s="4" t="n">
        <v>294</v>
      </c>
      <c r="B28" s="15" t="n">
        <v>46224</v>
      </c>
      <c r="C28" s="4" t="s">
        <v>27</v>
      </c>
      <c r="D28" s="4" t="s">
        <v>129</v>
      </c>
      <c r="E28" s="17" t="s">
        <v>130</v>
      </c>
      <c r="F28" s="4" t="s">
        <v>122</v>
      </c>
      <c r="G28" s="11" t="n">
        <v>60</v>
      </c>
      <c r="H28" s="4" t="s">
        <v>113</v>
      </c>
      <c r="I28" s="11" t="n">
        <v>54</v>
      </c>
      <c r="J28" s="11" t="n">
        <f aca="false">IF(AND(ISNUMBER(G28),ISNUMBER(I28)),I28-G28,"")</f>
        <v>-6</v>
      </c>
      <c r="K28" s="10" t="n">
        <f aca="false">IF(H28="Réalisé",1,IF(H28="Partiel",0.5,IF(H28="Prévu","",0)))</f>
        <v>1</v>
      </c>
      <c r="L28" s="17"/>
      <c r="M28" s="17"/>
      <c r="N28" s="17"/>
    </row>
    <row r="29" customFormat="false" ht="15" hidden="false" customHeight="false" outlineLevel="0" collapsed="false">
      <c r="A29" s="4" t="n">
        <v>295</v>
      </c>
      <c r="B29" s="15" t="n">
        <v>46225</v>
      </c>
      <c r="C29" s="4" t="s">
        <v>30</v>
      </c>
      <c r="D29" s="4" t="s">
        <v>120</v>
      </c>
      <c r="E29" s="17" t="s">
        <v>121</v>
      </c>
      <c r="F29" s="4" t="s">
        <v>122</v>
      </c>
      <c r="G29" s="11" t="n">
        <v>30</v>
      </c>
      <c r="H29" s="4" t="s">
        <v>119</v>
      </c>
      <c r="I29" s="11"/>
      <c r="J29" s="11" t="str">
        <f aca="false">IF(AND(ISNUMBER(G29),ISNUMBER(I29)),I29-G29,"")</f>
        <v/>
      </c>
      <c r="K29" s="10" t="n">
        <f aca="false">IF(H29="Réalisé",1,IF(H29="Partiel",0.5,IF(H29="Prévu","",0)))</f>
        <v>0</v>
      </c>
      <c r="L29" s="17"/>
      <c r="M29" s="17" t="s">
        <v>146</v>
      </c>
      <c r="N29" s="17"/>
    </row>
    <row r="30" customFormat="false" ht="15" hidden="false" customHeight="false" outlineLevel="0" collapsed="false">
      <c r="A30" s="4" t="n">
        <v>296</v>
      </c>
      <c r="B30" s="15" t="n">
        <v>46225</v>
      </c>
      <c r="C30" s="4" t="s">
        <v>27</v>
      </c>
      <c r="D30" s="4" t="s">
        <v>129</v>
      </c>
      <c r="E30" s="17" t="s">
        <v>130</v>
      </c>
      <c r="F30" s="4" t="s">
        <v>106</v>
      </c>
      <c r="G30" s="11" t="n">
        <v>60</v>
      </c>
      <c r="H30" s="4" t="s">
        <v>113</v>
      </c>
      <c r="I30" s="11" t="n">
        <v>81</v>
      </c>
      <c r="J30" s="11" t="n">
        <f aca="false">IF(AND(ISNUMBER(G30),ISNUMBER(I30)),I30-G30,"")</f>
        <v>21</v>
      </c>
      <c r="K30" s="10" t="n">
        <f aca="false">IF(H30="Réalisé",1,IF(H30="Partiel",0.5,IF(H30="Prévu","",0)))</f>
        <v>1</v>
      </c>
      <c r="L30" s="17"/>
      <c r="M30" s="17"/>
      <c r="N30" s="17"/>
    </row>
    <row r="31" customFormat="false" ht="15" hidden="false" customHeight="false" outlineLevel="0" collapsed="false">
      <c r="A31" s="4" t="n">
        <v>297</v>
      </c>
      <c r="B31" s="15" t="n">
        <v>46225</v>
      </c>
      <c r="C31" s="4" t="s">
        <v>25</v>
      </c>
      <c r="D31" s="4" t="s">
        <v>117</v>
      </c>
      <c r="E31" s="17" t="s">
        <v>118</v>
      </c>
      <c r="F31" s="4" t="s">
        <v>112</v>
      </c>
      <c r="G31" s="11" t="n">
        <v>40</v>
      </c>
      <c r="H31" s="4" t="s">
        <v>119</v>
      </c>
      <c r="I31" s="11"/>
      <c r="J31" s="11" t="str">
        <f aca="false">IF(AND(ISNUMBER(G31),ISNUMBER(I31)),I31-G31,"")</f>
        <v/>
      </c>
      <c r="K31" s="10" t="n">
        <f aca="false">IF(H31="Réalisé",1,IF(H31="Partiel",0.5,IF(H31="Prévu","",0)))</f>
        <v>0</v>
      </c>
      <c r="L31" s="17"/>
      <c r="M31" s="17" t="s">
        <v>137</v>
      </c>
      <c r="N31" s="17"/>
    </row>
    <row r="32" customFormat="false" ht="23.85" hidden="false" customHeight="false" outlineLevel="0" collapsed="false">
      <c r="A32" s="4" t="n">
        <v>298</v>
      </c>
      <c r="B32" s="15" t="n">
        <v>46225</v>
      </c>
      <c r="C32" s="4" t="s">
        <v>26</v>
      </c>
      <c r="D32" s="4" t="s">
        <v>110</v>
      </c>
      <c r="E32" s="17" t="s">
        <v>111</v>
      </c>
      <c r="F32" s="4" t="s">
        <v>122</v>
      </c>
      <c r="G32" s="11" t="n">
        <v>60</v>
      </c>
      <c r="H32" s="4" t="s">
        <v>123</v>
      </c>
      <c r="I32" s="11"/>
      <c r="J32" s="11" t="str">
        <f aca="false">IF(AND(ISNUMBER(G32),ISNUMBER(I32)),I32-G32,"")</f>
        <v/>
      </c>
      <c r="K32" s="10" t="n">
        <f aca="false">IF(H32="Réalisé",1,IF(H32="Partiel",0.5,IF(H32="Prévu","",0)))</f>
        <v>0</v>
      </c>
      <c r="L32" s="17"/>
      <c r="M32" s="17" t="s">
        <v>116</v>
      </c>
      <c r="N32" s="17" t="s">
        <v>109</v>
      </c>
    </row>
    <row r="33" customFormat="false" ht="15" hidden="false" customHeight="false" outlineLevel="0" collapsed="false">
      <c r="A33" s="4" t="n">
        <v>299</v>
      </c>
      <c r="B33" s="15" t="n">
        <v>46226</v>
      </c>
      <c r="C33" s="4" t="s">
        <v>25</v>
      </c>
      <c r="D33" s="4" t="s">
        <v>147</v>
      </c>
      <c r="E33" s="17" t="s">
        <v>148</v>
      </c>
      <c r="F33" s="4" t="s">
        <v>106</v>
      </c>
      <c r="G33" s="11" t="n">
        <v>30</v>
      </c>
      <c r="H33" s="4" t="s">
        <v>113</v>
      </c>
      <c r="I33" s="11" t="n">
        <v>26</v>
      </c>
      <c r="J33" s="11" t="n">
        <f aca="false">IF(AND(ISNUMBER(G33),ISNUMBER(I33)),I33-G33,"")</f>
        <v>-4</v>
      </c>
      <c r="K33" s="10" t="n">
        <f aca="false">IF(H33="Réalisé",1,IF(H33="Partiel",0.5,IF(H33="Prévu","",0)))</f>
        <v>1</v>
      </c>
      <c r="L33" s="17"/>
      <c r="M33" s="17"/>
      <c r="N33" s="17" t="s">
        <v>149</v>
      </c>
    </row>
    <row r="34" customFormat="false" ht="15" hidden="false" customHeight="false" outlineLevel="0" collapsed="false">
      <c r="A34" s="4" t="n">
        <v>300</v>
      </c>
      <c r="B34" s="15" t="n">
        <v>46226</v>
      </c>
      <c r="C34" s="4" t="s">
        <v>29</v>
      </c>
      <c r="D34" s="4" t="s">
        <v>124</v>
      </c>
      <c r="E34" s="17" t="s">
        <v>125</v>
      </c>
      <c r="F34" s="4" t="s">
        <v>106</v>
      </c>
      <c r="G34" s="11" t="n">
        <v>20</v>
      </c>
      <c r="H34" s="4" t="s">
        <v>113</v>
      </c>
      <c r="I34" s="11" t="n">
        <v>22</v>
      </c>
      <c r="J34" s="11" t="n">
        <f aca="false">IF(AND(ISNUMBER(G34),ISNUMBER(I34)),I34-G34,"")</f>
        <v>2</v>
      </c>
      <c r="K34" s="10" t="n">
        <f aca="false">IF(H34="Réalisé",1,IF(H34="Partiel",0.5,IF(H34="Prévu","",0)))</f>
        <v>1</v>
      </c>
      <c r="L34" s="17"/>
      <c r="M34" s="17"/>
      <c r="N34" s="17"/>
    </row>
    <row r="35" customFormat="false" ht="15" hidden="false" customHeight="false" outlineLevel="0" collapsed="false">
      <c r="A35" s="4" t="n">
        <v>301</v>
      </c>
      <c r="B35" s="15" t="n">
        <v>46226</v>
      </c>
      <c r="C35" s="4" t="s">
        <v>26</v>
      </c>
      <c r="D35" s="4" t="s">
        <v>142</v>
      </c>
      <c r="E35" s="17" t="s">
        <v>143</v>
      </c>
      <c r="F35" s="4" t="s">
        <v>112</v>
      </c>
      <c r="G35" s="11" t="n">
        <v>45</v>
      </c>
      <c r="H35" s="4" t="s">
        <v>113</v>
      </c>
      <c r="I35" s="11" t="n">
        <v>50</v>
      </c>
      <c r="J35" s="11" t="n">
        <f aca="false">IF(AND(ISNUMBER(G35),ISNUMBER(I35)),I35-G35,"")</f>
        <v>5</v>
      </c>
      <c r="K35" s="10" t="n">
        <f aca="false">IF(H35="Réalisé",1,IF(H35="Partiel",0.5,IF(H35="Prévu","",0)))</f>
        <v>1</v>
      </c>
      <c r="L35" s="17"/>
      <c r="M35" s="17"/>
      <c r="N35" s="17"/>
    </row>
    <row r="36" customFormat="false" ht="15" hidden="false" customHeight="false" outlineLevel="0" collapsed="false">
      <c r="A36" s="4" t="n">
        <v>302</v>
      </c>
      <c r="B36" s="15" t="n">
        <v>46226</v>
      </c>
      <c r="C36" s="4" t="s">
        <v>24</v>
      </c>
      <c r="D36" s="4" t="s">
        <v>132</v>
      </c>
      <c r="E36" s="17" t="s">
        <v>133</v>
      </c>
      <c r="F36" s="4" t="s">
        <v>106</v>
      </c>
      <c r="G36" s="11" t="n">
        <v>15</v>
      </c>
      <c r="H36" s="4" t="s">
        <v>119</v>
      </c>
      <c r="I36" s="11"/>
      <c r="J36" s="11" t="str">
        <f aca="false">IF(AND(ISNUMBER(G36),ISNUMBER(I36)),I36-G36,"")</f>
        <v/>
      </c>
      <c r="K36" s="10" t="n">
        <f aca="false">IF(H36="Réalisé",1,IF(H36="Partiel",0.5,IF(H36="Prévu","",0)))</f>
        <v>0</v>
      </c>
      <c r="L36" s="17"/>
      <c r="M36" s="17" t="s">
        <v>150</v>
      </c>
      <c r="N36" s="17"/>
    </row>
    <row r="37" customFormat="false" ht="15" hidden="false" customHeight="false" outlineLevel="0" collapsed="false">
      <c r="A37" s="4" t="n">
        <v>303</v>
      </c>
      <c r="B37" s="15" t="n">
        <v>46226</v>
      </c>
      <c r="C37" s="4" t="s">
        <v>24</v>
      </c>
      <c r="D37" s="4" t="s">
        <v>126</v>
      </c>
      <c r="E37" s="17" t="s">
        <v>127</v>
      </c>
      <c r="F37" s="4" t="s">
        <v>106</v>
      </c>
      <c r="G37" s="11" t="n">
        <v>20</v>
      </c>
      <c r="H37" s="4" t="s">
        <v>113</v>
      </c>
      <c r="I37" s="11" t="n">
        <v>23</v>
      </c>
      <c r="J37" s="11" t="n">
        <f aca="false">IF(AND(ISNUMBER(G37),ISNUMBER(I37)),I37-G37,"")</f>
        <v>3</v>
      </c>
      <c r="K37" s="10" t="n">
        <f aca="false">IF(H37="Réalisé",1,IF(H37="Partiel",0.5,IF(H37="Prévu","",0)))</f>
        <v>1</v>
      </c>
      <c r="L37" s="17"/>
      <c r="M37" s="17"/>
      <c r="N37" s="17" t="s">
        <v>128</v>
      </c>
    </row>
    <row r="38" customFormat="false" ht="15" hidden="false" customHeight="false" outlineLevel="0" collapsed="false">
      <c r="A38" s="4" t="n">
        <v>304</v>
      </c>
      <c r="B38" s="15" t="n">
        <v>46226</v>
      </c>
      <c r="C38" s="4" t="s">
        <v>30</v>
      </c>
      <c r="D38" s="4" t="s">
        <v>120</v>
      </c>
      <c r="E38" s="17" t="s">
        <v>121</v>
      </c>
      <c r="F38" s="4" t="s">
        <v>112</v>
      </c>
      <c r="G38" s="11" t="n">
        <v>30</v>
      </c>
      <c r="H38" s="4" t="s">
        <v>113</v>
      </c>
      <c r="I38" s="11" t="n">
        <v>34</v>
      </c>
      <c r="J38" s="11" t="n">
        <f aca="false">IF(AND(ISNUMBER(G38),ISNUMBER(I38)),I38-G38,"")</f>
        <v>4</v>
      </c>
      <c r="K38" s="10" t="n">
        <f aca="false">IF(H38="Réalisé",1,IF(H38="Partiel",0.5,IF(H38="Prévu","",0)))</f>
        <v>1</v>
      </c>
      <c r="L38" s="17"/>
      <c r="M38" s="17"/>
      <c r="N38" s="17"/>
    </row>
    <row r="39" customFormat="false" ht="23.85" hidden="false" customHeight="false" outlineLevel="0" collapsed="false">
      <c r="A39" s="4" t="n">
        <v>305</v>
      </c>
      <c r="B39" s="15" t="n">
        <v>46226</v>
      </c>
      <c r="C39" s="4" t="s">
        <v>26</v>
      </c>
      <c r="D39" s="4" t="s">
        <v>110</v>
      </c>
      <c r="E39" s="17" t="s">
        <v>111</v>
      </c>
      <c r="F39" s="4" t="s">
        <v>106</v>
      </c>
      <c r="G39" s="11" t="n">
        <v>60</v>
      </c>
      <c r="H39" s="4" t="s">
        <v>119</v>
      </c>
      <c r="I39" s="11"/>
      <c r="J39" s="11" t="str">
        <f aca="false">IF(AND(ISNUMBER(G39),ISNUMBER(I39)),I39-G39,"")</f>
        <v/>
      </c>
      <c r="K39" s="10" t="n">
        <f aca="false">IF(H39="Réalisé",1,IF(H39="Partiel",0.5,IF(H39="Prévu","",0)))</f>
        <v>0</v>
      </c>
      <c r="L39" s="17"/>
      <c r="M39" s="17" t="s">
        <v>146</v>
      </c>
      <c r="N39" s="17" t="s">
        <v>109</v>
      </c>
    </row>
    <row r="40" customFormat="false" ht="15" hidden="false" customHeight="false" outlineLevel="0" collapsed="false">
      <c r="A40" s="4" t="n">
        <v>306</v>
      </c>
      <c r="B40" s="15" t="n">
        <v>46227</v>
      </c>
      <c r="C40" s="4" t="s">
        <v>26</v>
      </c>
      <c r="D40" s="4" t="s">
        <v>142</v>
      </c>
      <c r="E40" s="17" t="s">
        <v>143</v>
      </c>
      <c r="F40" s="4" t="s">
        <v>106</v>
      </c>
      <c r="G40" s="11" t="n">
        <v>45</v>
      </c>
      <c r="H40" s="4" t="s">
        <v>119</v>
      </c>
      <c r="I40" s="11"/>
      <c r="J40" s="11" t="str">
        <f aca="false">IF(AND(ISNUMBER(G40),ISNUMBER(I40)),I40-G40,"")</f>
        <v/>
      </c>
      <c r="K40" s="10" t="n">
        <f aca="false">IF(H40="Réalisé",1,IF(H40="Partiel",0.5,IF(H40="Prévu","",0)))</f>
        <v>0</v>
      </c>
      <c r="L40" s="17"/>
      <c r="M40" s="17" t="s">
        <v>116</v>
      </c>
      <c r="N40" s="17"/>
    </row>
    <row r="41" customFormat="false" ht="23.85" hidden="false" customHeight="false" outlineLevel="0" collapsed="false">
      <c r="A41" s="4" t="n">
        <v>307</v>
      </c>
      <c r="B41" s="15" t="n">
        <v>46227</v>
      </c>
      <c r="C41" s="4" t="s">
        <v>26</v>
      </c>
      <c r="D41" s="4" t="s">
        <v>110</v>
      </c>
      <c r="E41" s="17" t="s">
        <v>111</v>
      </c>
      <c r="F41" s="4" t="s">
        <v>112</v>
      </c>
      <c r="G41" s="11" t="n">
        <v>60</v>
      </c>
      <c r="H41" s="4" t="s">
        <v>134</v>
      </c>
      <c r="I41" s="11" t="n">
        <v>58</v>
      </c>
      <c r="J41" s="11" t="n">
        <f aca="false">IF(AND(ISNUMBER(G41),ISNUMBER(I41)),I41-G41,"")</f>
        <v>-2</v>
      </c>
      <c r="K41" s="10" t="n">
        <f aca="false">IF(H41="Réalisé",1,IF(H41="Partiel",0.5,IF(H41="Prévu","",0)))</f>
        <v>0.5</v>
      </c>
      <c r="L41" s="17"/>
      <c r="M41" s="17"/>
      <c r="N41" s="17" t="s">
        <v>109</v>
      </c>
    </row>
    <row r="42" customFormat="false" ht="15" hidden="false" customHeight="false" outlineLevel="0" collapsed="false">
      <c r="A42" s="4" t="n">
        <v>308</v>
      </c>
      <c r="B42" s="15" t="n">
        <v>46227</v>
      </c>
      <c r="C42" s="4" t="s">
        <v>29</v>
      </c>
      <c r="D42" s="4" t="s">
        <v>124</v>
      </c>
      <c r="E42" s="17" t="s">
        <v>125</v>
      </c>
      <c r="F42" s="4" t="s">
        <v>106</v>
      </c>
      <c r="G42" s="11" t="n">
        <v>20</v>
      </c>
      <c r="H42" s="4" t="s">
        <v>113</v>
      </c>
      <c r="I42" s="11" t="n">
        <v>31</v>
      </c>
      <c r="J42" s="11" t="n">
        <f aca="false">IF(AND(ISNUMBER(G42),ISNUMBER(I42)),I42-G42,"")</f>
        <v>11</v>
      </c>
      <c r="K42" s="10" t="n">
        <f aca="false">IF(H42="Réalisé",1,IF(H42="Partiel",0.5,IF(H42="Prévu","",0)))</f>
        <v>1</v>
      </c>
      <c r="L42" s="17"/>
      <c r="M42" s="17"/>
      <c r="N42" s="17"/>
    </row>
    <row r="43" customFormat="false" ht="15" hidden="false" customHeight="false" outlineLevel="0" collapsed="false">
      <c r="A43" s="4" t="n">
        <v>309</v>
      </c>
      <c r="B43" s="15" t="n">
        <v>46227</v>
      </c>
      <c r="C43" s="4" t="s">
        <v>24</v>
      </c>
      <c r="D43" s="4" t="s">
        <v>132</v>
      </c>
      <c r="E43" s="17" t="s">
        <v>133</v>
      </c>
      <c r="F43" s="4" t="s">
        <v>122</v>
      </c>
      <c r="G43" s="11" t="n">
        <v>15</v>
      </c>
      <c r="H43" s="4" t="s">
        <v>113</v>
      </c>
      <c r="I43" s="11" t="n">
        <v>17</v>
      </c>
      <c r="J43" s="11" t="n">
        <f aca="false">IF(AND(ISNUMBER(G43),ISNUMBER(I43)),I43-G43,"")</f>
        <v>2</v>
      </c>
      <c r="K43" s="10" t="n">
        <f aca="false">IF(H43="Réalisé",1,IF(H43="Partiel",0.5,IF(H43="Prévu","",0)))</f>
        <v>1</v>
      </c>
      <c r="L43" s="17"/>
      <c r="M43" s="17"/>
      <c r="N43" s="17"/>
    </row>
    <row r="44" customFormat="false" ht="15" hidden="false" customHeight="false" outlineLevel="0" collapsed="false">
      <c r="A44" s="4" t="n">
        <v>310</v>
      </c>
      <c r="B44" s="15" t="n">
        <v>46228</v>
      </c>
      <c r="C44" s="4" t="s">
        <v>29</v>
      </c>
      <c r="D44" s="4" t="s">
        <v>124</v>
      </c>
      <c r="E44" s="17" t="s">
        <v>125</v>
      </c>
      <c r="F44" s="4" t="s">
        <v>106</v>
      </c>
      <c r="G44" s="11" t="n">
        <v>20</v>
      </c>
      <c r="H44" s="4" t="s">
        <v>113</v>
      </c>
      <c r="I44" s="11" t="n">
        <v>27</v>
      </c>
      <c r="J44" s="11" t="n">
        <f aca="false">IF(AND(ISNUMBER(G44),ISNUMBER(I44)),I44-G44,"")</f>
        <v>7</v>
      </c>
      <c r="K44" s="10" t="n">
        <f aca="false">IF(H44="Réalisé",1,IF(H44="Partiel",0.5,IF(H44="Prévu","",0)))</f>
        <v>1</v>
      </c>
      <c r="L44" s="17"/>
      <c r="M44" s="17"/>
      <c r="N44" s="17"/>
    </row>
    <row r="45" customFormat="false" ht="15" hidden="false" customHeight="false" outlineLevel="0" collapsed="false">
      <c r="A45" s="4" t="n">
        <v>311</v>
      </c>
      <c r="B45" s="15" t="n">
        <v>46228</v>
      </c>
      <c r="C45" s="4" t="s">
        <v>27</v>
      </c>
      <c r="D45" s="4" t="s">
        <v>135</v>
      </c>
      <c r="E45" s="17" t="s">
        <v>136</v>
      </c>
      <c r="F45" s="4" t="s">
        <v>106</v>
      </c>
      <c r="G45" s="11" t="n">
        <v>45</v>
      </c>
      <c r="H45" s="4" t="s">
        <v>113</v>
      </c>
      <c r="I45" s="11" t="n">
        <v>57</v>
      </c>
      <c r="J45" s="11" t="n">
        <f aca="false">IF(AND(ISNUMBER(G45),ISNUMBER(I45)),I45-G45,"")</f>
        <v>12</v>
      </c>
      <c r="K45" s="10" t="n">
        <f aca="false">IF(H45="Réalisé",1,IF(H45="Partiel",0.5,IF(H45="Prévu","",0)))</f>
        <v>1</v>
      </c>
      <c r="L45" s="17"/>
      <c r="M45" s="17"/>
      <c r="N45" s="17" t="s">
        <v>138</v>
      </c>
    </row>
    <row r="46" customFormat="false" ht="15" hidden="false" customHeight="false" outlineLevel="0" collapsed="false">
      <c r="A46" s="4" t="n">
        <v>312</v>
      </c>
      <c r="B46" s="15" t="n">
        <v>46228</v>
      </c>
      <c r="C46" s="4" t="s">
        <v>24</v>
      </c>
      <c r="D46" s="4" t="s">
        <v>126</v>
      </c>
      <c r="E46" s="17" t="s">
        <v>127</v>
      </c>
      <c r="F46" s="4" t="s">
        <v>106</v>
      </c>
      <c r="G46" s="11" t="n">
        <v>20</v>
      </c>
      <c r="H46" s="4" t="s">
        <v>113</v>
      </c>
      <c r="I46" s="11" t="n">
        <v>21</v>
      </c>
      <c r="J46" s="11" t="n">
        <f aca="false">IF(AND(ISNUMBER(G46),ISNUMBER(I46)),I46-G46,"")</f>
        <v>1</v>
      </c>
      <c r="K46" s="10" t="n">
        <f aca="false">IF(H46="Réalisé",1,IF(H46="Partiel",0.5,IF(H46="Prévu","",0)))</f>
        <v>1</v>
      </c>
      <c r="L46" s="17"/>
      <c r="M46" s="17"/>
      <c r="N46" s="17" t="s">
        <v>128</v>
      </c>
    </row>
    <row r="47" customFormat="false" ht="15" hidden="false" customHeight="false" outlineLevel="0" collapsed="false">
      <c r="A47" s="4" t="n">
        <v>313</v>
      </c>
      <c r="B47" s="15" t="n">
        <v>46228</v>
      </c>
      <c r="C47" s="4" t="s">
        <v>26</v>
      </c>
      <c r="D47" s="4" t="s">
        <v>142</v>
      </c>
      <c r="E47" s="17" t="s">
        <v>143</v>
      </c>
      <c r="F47" s="4" t="s">
        <v>112</v>
      </c>
      <c r="G47" s="11" t="n">
        <v>45</v>
      </c>
      <c r="H47" s="4" t="s">
        <v>119</v>
      </c>
      <c r="I47" s="11"/>
      <c r="J47" s="11" t="str">
        <f aca="false">IF(AND(ISNUMBER(G47),ISNUMBER(I47)),I47-G47,"")</f>
        <v/>
      </c>
      <c r="K47" s="10" t="n">
        <f aca="false">IF(H47="Réalisé",1,IF(H47="Partiel",0.5,IF(H47="Prévu","",0)))</f>
        <v>0</v>
      </c>
      <c r="L47" s="17"/>
      <c r="M47" s="17" t="s">
        <v>116</v>
      </c>
      <c r="N47" s="17"/>
    </row>
    <row r="48" customFormat="false" ht="15" hidden="false" customHeight="false" outlineLevel="0" collapsed="false">
      <c r="A48" s="4" t="n">
        <v>314</v>
      </c>
      <c r="B48" s="15" t="n">
        <v>46229</v>
      </c>
      <c r="C48" s="4" t="s">
        <v>28</v>
      </c>
      <c r="D48" s="4" t="s">
        <v>114</v>
      </c>
      <c r="E48" s="17" t="s">
        <v>115</v>
      </c>
      <c r="F48" s="4" t="s">
        <v>112</v>
      </c>
      <c r="G48" s="11" t="n">
        <v>30</v>
      </c>
      <c r="H48" s="4" t="s">
        <v>113</v>
      </c>
      <c r="I48" s="11" t="n">
        <v>24</v>
      </c>
      <c r="J48" s="11" t="n">
        <f aca="false">IF(AND(ISNUMBER(G48),ISNUMBER(I48)),I48-G48,"")</f>
        <v>-6</v>
      </c>
      <c r="K48" s="10" t="n">
        <f aca="false">IF(H48="Réalisé",1,IF(H48="Partiel",0.5,IF(H48="Prévu","",0)))</f>
        <v>1</v>
      </c>
      <c r="L48" s="17"/>
      <c r="M48" s="17"/>
      <c r="N48" s="17"/>
    </row>
    <row r="49" customFormat="false" ht="15" hidden="false" customHeight="false" outlineLevel="0" collapsed="false">
      <c r="A49" s="4" t="n">
        <v>315</v>
      </c>
      <c r="B49" s="15" t="n">
        <v>46229</v>
      </c>
      <c r="C49" s="4" t="s">
        <v>26</v>
      </c>
      <c r="D49" s="4" t="s">
        <v>140</v>
      </c>
      <c r="E49" s="17" t="s">
        <v>141</v>
      </c>
      <c r="F49" s="4" t="s">
        <v>112</v>
      </c>
      <c r="G49" s="11" t="n">
        <v>60</v>
      </c>
      <c r="H49" s="4" t="s">
        <v>113</v>
      </c>
      <c r="I49" s="11" t="n">
        <v>80</v>
      </c>
      <c r="J49" s="11" t="n">
        <f aca="false">IF(AND(ISNUMBER(G49),ISNUMBER(I49)),I49-G49,"")</f>
        <v>20</v>
      </c>
      <c r="K49" s="10" t="n">
        <f aca="false">IF(H49="Réalisé",1,IF(H49="Partiel",0.5,IF(H49="Prévu","",0)))</f>
        <v>1</v>
      </c>
      <c r="L49" s="17" t="s">
        <v>151</v>
      </c>
      <c r="M49" s="17"/>
      <c r="N49" s="17"/>
    </row>
    <row r="50" customFormat="false" ht="15" hidden="false" customHeight="false" outlineLevel="0" collapsed="false">
      <c r="A50" s="4" t="n">
        <v>316</v>
      </c>
      <c r="B50" s="15" t="n">
        <v>46229</v>
      </c>
      <c r="C50" s="4" t="s">
        <v>27</v>
      </c>
      <c r="D50" s="4" t="s">
        <v>135</v>
      </c>
      <c r="E50" s="17" t="s">
        <v>136</v>
      </c>
      <c r="F50" s="4" t="s">
        <v>112</v>
      </c>
      <c r="G50" s="11" t="n">
        <v>45</v>
      </c>
      <c r="H50" s="4" t="s">
        <v>113</v>
      </c>
      <c r="I50" s="11" t="n">
        <v>96</v>
      </c>
      <c r="J50" s="11" t="n">
        <f aca="false">IF(AND(ISNUMBER(G50),ISNUMBER(I50)),I50-G50,"")</f>
        <v>51</v>
      </c>
      <c r="K50" s="10" t="n">
        <f aca="false">IF(H50="Réalisé",1,IF(H50="Partiel",0.5,IF(H50="Prévu","",0)))</f>
        <v>1</v>
      </c>
      <c r="L50" s="17"/>
      <c r="M50" s="17"/>
      <c r="N50" s="17" t="s">
        <v>138</v>
      </c>
    </row>
    <row r="51" customFormat="false" ht="23.85" hidden="false" customHeight="false" outlineLevel="0" collapsed="false">
      <c r="A51" s="4" t="n">
        <v>317</v>
      </c>
      <c r="B51" s="15" t="n">
        <v>46229</v>
      </c>
      <c r="C51" s="4" t="s">
        <v>26</v>
      </c>
      <c r="D51" s="4" t="s">
        <v>110</v>
      </c>
      <c r="E51" s="17" t="s">
        <v>111</v>
      </c>
      <c r="F51" s="4" t="s">
        <v>106</v>
      </c>
      <c r="G51" s="11" t="n">
        <v>60</v>
      </c>
      <c r="H51" s="4" t="s">
        <v>123</v>
      </c>
      <c r="I51" s="11"/>
      <c r="J51" s="11" t="str">
        <f aca="false">IF(AND(ISNUMBER(G51),ISNUMBER(I51)),I51-G51,"")</f>
        <v/>
      </c>
      <c r="K51" s="10" t="n">
        <f aca="false">IF(H51="Réalisé",1,IF(H51="Partiel",0.5,IF(H51="Prévu","",0)))</f>
        <v>0</v>
      </c>
      <c r="L51" s="17"/>
      <c r="M51" s="17" t="s">
        <v>146</v>
      </c>
      <c r="N51" s="17" t="s">
        <v>109</v>
      </c>
    </row>
    <row r="52" customFormat="false" ht="15" hidden="false" customHeight="false" outlineLevel="0" collapsed="false">
      <c r="A52" s="4" t="n">
        <v>318</v>
      </c>
      <c r="B52" s="15" t="n">
        <v>46230</v>
      </c>
      <c r="C52" s="4" t="s">
        <v>25</v>
      </c>
      <c r="D52" s="4" t="s">
        <v>117</v>
      </c>
      <c r="E52" s="17" t="s">
        <v>118</v>
      </c>
      <c r="F52" s="4" t="s">
        <v>106</v>
      </c>
      <c r="G52" s="11" t="n">
        <v>40</v>
      </c>
      <c r="H52" s="4" t="s">
        <v>113</v>
      </c>
      <c r="I52" s="11" t="n">
        <v>46</v>
      </c>
      <c r="J52" s="11" t="n">
        <f aca="false">IF(AND(ISNUMBER(G52),ISNUMBER(I52)),I52-G52,"")</f>
        <v>6</v>
      </c>
      <c r="K52" s="10" t="n">
        <f aca="false">IF(H52="Réalisé",1,IF(H52="Partiel",0.5,IF(H52="Prévu","",0)))</f>
        <v>1</v>
      </c>
      <c r="L52" s="17"/>
      <c r="M52" s="17"/>
      <c r="N52" s="17"/>
    </row>
    <row r="53" customFormat="false" ht="15" hidden="false" customHeight="false" outlineLevel="0" collapsed="false">
      <c r="A53" s="4" t="n">
        <v>319</v>
      </c>
      <c r="B53" s="15" t="n">
        <v>46230</v>
      </c>
      <c r="C53" s="4" t="s">
        <v>29</v>
      </c>
      <c r="D53" s="4" t="s">
        <v>124</v>
      </c>
      <c r="E53" s="17" t="s">
        <v>125</v>
      </c>
      <c r="F53" s="4" t="s">
        <v>112</v>
      </c>
      <c r="G53" s="11" t="n">
        <v>20</v>
      </c>
      <c r="H53" s="4" t="s">
        <v>113</v>
      </c>
      <c r="I53" s="11" t="n">
        <v>17</v>
      </c>
      <c r="J53" s="11" t="n">
        <f aca="false">IF(AND(ISNUMBER(G53),ISNUMBER(I53)),I53-G53,"")</f>
        <v>-3</v>
      </c>
      <c r="K53" s="10" t="n">
        <f aca="false">IF(H53="Réalisé",1,IF(H53="Partiel",0.5,IF(H53="Prévu","",0)))</f>
        <v>1</v>
      </c>
      <c r="L53" s="17"/>
      <c r="M53" s="17"/>
      <c r="N53" s="17"/>
    </row>
    <row r="54" customFormat="false" ht="15" hidden="false" customHeight="false" outlineLevel="0" collapsed="false">
      <c r="A54" s="4" t="n">
        <v>320</v>
      </c>
      <c r="B54" s="15" t="n">
        <v>46230</v>
      </c>
      <c r="C54" s="4" t="s">
        <v>27</v>
      </c>
      <c r="D54" s="4" t="s">
        <v>129</v>
      </c>
      <c r="E54" s="17" t="s">
        <v>130</v>
      </c>
      <c r="F54" s="4" t="s">
        <v>112</v>
      </c>
      <c r="G54" s="11" t="n">
        <v>60</v>
      </c>
      <c r="H54" s="4" t="s">
        <v>119</v>
      </c>
      <c r="I54" s="11"/>
      <c r="J54" s="11" t="str">
        <f aca="false">IF(AND(ISNUMBER(G54),ISNUMBER(I54)),I54-G54,"")</f>
        <v/>
      </c>
      <c r="K54" s="10" t="n">
        <f aca="false">IF(H54="Réalisé",1,IF(H54="Partiel",0.5,IF(H54="Prévu","",0)))</f>
        <v>0</v>
      </c>
      <c r="L54" s="17"/>
      <c r="M54" s="17" t="s">
        <v>152</v>
      </c>
      <c r="N54" s="17"/>
    </row>
    <row r="55" customFormat="false" ht="15" hidden="false" customHeight="false" outlineLevel="0" collapsed="false">
      <c r="A55" s="4" t="n">
        <v>321</v>
      </c>
      <c r="B55" s="15" t="n">
        <v>46230</v>
      </c>
      <c r="C55" s="4" t="s">
        <v>25</v>
      </c>
      <c r="D55" s="4" t="s">
        <v>147</v>
      </c>
      <c r="E55" s="17" t="s">
        <v>148</v>
      </c>
      <c r="F55" s="4" t="s">
        <v>112</v>
      </c>
      <c r="G55" s="11" t="n">
        <v>30</v>
      </c>
      <c r="H55" s="4" t="s">
        <v>113</v>
      </c>
      <c r="I55" s="11" t="n">
        <v>36</v>
      </c>
      <c r="J55" s="11" t="n">
        <f aca="false">IF(AND(ISNUMBER(G55),ISNUMBER(I55)),I55-G55,"")</f>
        <v>6</v>
      </c>
      <c r="K55" s="10" t="n">
        <f aca="false">IF(H55="Réalisé",1,IF(H55="Partiel",0.5,IF(H55="Prévu","",0)))</f>
        <v>1</v>
      </c>
      <c r="L55" s="17"/>
      <c r="M55" s="17"/>
      <c r="N55" s="17" t="s">
        <v>149</v>
      </c>
    </row>
    <row r="56" customFormat="false" ht="23.85" hidden="false" customHeight="false" outlineLevel="0" collapsed="false">
      <c r="A56" s="4" t="n">
        <v>322</v>
      </c>
      <c r="B56" s="15" t="n">
        <v>46230</v>
      </c>
      <c r="C56" s="4" t="s">
        <v>26</v>
      </c>
      <c r="D56" s="4" t="s">
        <v>110</v>
      </c>
      <c r="E56" s="17" t="s">
        <v>111</v>
      </c>
      <c r="F56" s="4" t="s">
        <v>122</v>
      </c>
      <c r="G56" s="11" t="n">
        <v>60</v>
      </c>
      <c r="H56" s="4" t="s">
        <v>113</v>
      </c>
      <c r="I56" s="11" t="n">
        <v>54</v>
      </c>
      <c r="J56" s="11" t="n">
        <f aca="false">IF(AND(ISNUMBER(G56),ISNUMBER(I56)),I56-G56,"")</f>
        <v>-6</v>
      </c>
      <c r="K56" s="10" t="n">
        <f aca="false">IF(H56="Réalisé",1,IF(H56="Partiel",0.5,IF(H56="Prévu","",0)))</f>
        <v>1</v>
      </c>
      <c r="L56" s="17"/>
      <c r="M56" s="17"/>
      <c r="N56" s="17" t="s">
        <v>109</v>
      </c>
    </row>
    <row r="57" customFormat="false" ht="15" hidden="false" customHeight="false" outlineLevel="0" collapsed="false">
      <c r="A57" s="4" t="n">
        <v>323</v>
      </c>
      <c r="B57" s="15" t="n">
        <v>46231</v>
      </c>
      <c r="C57" s="4" t="s">
        <v>28</v>
      </c>
      <c r="D57" s="4" t="s">
        <v>114</v>
      </c>
      <c r="E57" s="17" t="s">
        <v>115</v>
      </c>
      <c r="F57" s="4" t="s">
        <v>106</v>
      </c>
      <c r="G57" s="11" t="n">
        <v>30</v>
      </c>
      <c r="H57" s="4" t="s">
        <v>119</v>
      </c>
      <c r="I57" s="11"/>
      <c r="J57" s="11" t="str">
        <f aca="false">IF(AND(ISNUMBER(G57),ISNUMBER(I57)),I57-G57,"")</f>
        <v/>
      </c>
      <c r="K57" s="10" t="n">
        <f aca="false">IF(H57="Réalisé",1,IF(H57="Partiel",0.5,IF(H57="Prévu","",0)))</f>
        <v>0</v>
      </c>
      <c r="L57" s="17"/>
      <c r="M57" s="17" t="s">
        <v>152</v>
      </c>
      <c r="N57" s="17"/>
    </row>
    <row r="58" customFormat="false" ht="15" hidden="false" customHeight="false" outlineLevel="0" collapsed="false">
      <c r="A58" s="4" t="n">
        <v>324</v>
      </c>
      <c r="B58" s="15" t="n">
        <v>46231</v>
      </c>
      <c r="C58" s="4" t="s">
        <v>24</v>
      </c>
      <c r="D58" s="4" t="s">
        <v>126</v>
      </c>
      <c r="E58" s="17" t="s">
        <v>127</v>
      </c>
      <c r="F58" s="4" t="s">
        <v>106</v>
      </c>
      <c r="G58" s="11" t="n">
        <v>20</v>
      </c>
      <c r="H58" s="4" t="s">
        <v>119</v>
      </c>
      <c r="I58" s="11"/>
      <c r="J58" s="11" t="str">
        <f aca="false">IF(AND(ISNUMBER(G58),ISNUMBER(I58)),I58-G58,"")</f>
        <v/>
      </c>
      <c r="K58" s="10" t="n">
        <f aca="false">IF(H58="Réalisé",1,IF(H58="Partiel",0.5,IF(H58="Prévu","",0)))</f>
        <v>0</v>
      </c>
      <c r="L58" s="17"/>
      <c r="M58" s="17" t="s">
        <v>146</v>
      </c>
      <c r="N58" s="17" t="s">
        <v>128</v>
      </c>
    </row>
    <row r="59" customFormat="false" ht="23.85" hidden="false" customHeight="false" outlineLevel="0" collapsed="false">
      <c r="A59" s="4" t="n">
        <v>325</v>
      </c>
      <c r="B59" s="15" t="n">
        <v>46231</v>
      </c>
      <c r="C59" s="4" t="s">
        <v>26</v>
      </c>
      <c r="D59" s="4" t="s">
        <v>110</v>
      </c>
      <c r="E59" s="17" t="s">
        <v>111</v>
      </c>
      <c r="F59" s="4" t="s">
        <v>112</v>
      </c>
      <c r="G59" s="11" t="n">
        <v>60</v>
      </c>
      <c r="H59" s="4" t="s">
        <v>113</v>
      </c>
      <c r="I59" s="11" t="n">
        <v>81</v>
      </c>
      <c r="J59" s="11" t="n">
        <f aca="false">IF(AND(ISNUMBER(G59),ISNUMBER(I59)),I59-G59,"")</f>
        <v>21</v>
      </c>
      <c r="K59" s="10" t="n">
        <f aca="false">IF(H59="Réalisé",1,IF(H59="Partiel",0.5,IF(H59="Prévu","",0)))</f>
        <v>1</v>
      </c>
      <c r="L59" s="17" t="s">
        <v>139</v>
      </c>
      <c r="M59" s="17"/>
      <c r="N59" s="17" t="s">
        <v>109</v>
      </c>
    </row>
    <row r="60" customFormat="false" ht="15" hidden="false" customHeight="false" outlineLevel="0" collapsed="false">
      <c r="A60" s="4" t="n">
        <v>326</v>
      </c>
      <c r="B60" s="15" t="n">
        <v>46232</v>
      </c>
      <c r="C60" s="4" t="s">
        <v>24</v>
      </c>
      <c r="D60" s="4" t="s">
        <v>126</v>
      </c>
      <c r="E60" s="17" t="s">
        <v>127</v>
      </c>
      <c r="F60" s="4" t="s">
        <v>122</v>
      </c>
      <c r="G60" s="11" t="n">
        <v>20</v>
      </c>
      <c r="H60" s="4" t="s">
        <v>113</v>
      </c>
      <c r="I60" s="11" t="n">
        <v>26</v>
      </c>
      <c r="J60" s="11" t="n">
        <f aca="false">IF(AND(ISNUMBER(G60),ISNUMBER(I60)),I60-G60,"")</f>
        <v>6</v>
      </c>
      <c r="K60" s="10" t="n">
        <f aca="false">IF(H60="Réalisé",1,IF(H60="Partiel",0.5,IF(H60="Prévu","",0)))</f>
        <v>1</v>
      </c>
      <c r="L60" s="17"/>
      <c r="M60" s="17"/>
      <c r="N60" s="17" t="s">
        <v>128</v>
      </c>
    </row>
    <row r="61" customFormat="false" ht="23.85" hidden="false" customHeight="false" outlineLevel="0" collapsed="false">
      <c r="A61" s="4" t="n">
        <v>327</v>
      </c>
      <c r="B61" s="15" t="n">
        <v>46232</v>
      </c>
      <c r="C61" s="4" t="s">
        <v>26</v>
      </c>
      <c r="D61" s="4" t="s">
        <v>110</v>
      </c>
      <c r="E61" s="17" t="s">
        <v>111</v>
      </c>
      <c r="F61" s="4" t="s">
        <v>112</v>
      </c>
      <c r="G61" s="11" t="n">
        <v>60</v>
      </c>
      <c r="H61" s="4" t="s">
        <v>134</v>
      </c>
      <c r="I61" s="11" t="n">
        <v>37</v>
      </c>
      <c r="J61" s="11" t="n">
        <f aca="false">IF(AND(ISNUMBER(G61),ISNUMBER(I61)),I61-G61,"")</f>
        <v>-23</v>
      </c>
      <c r="K61" s="10" t="n">
        <f aca="false">IF(H61="Réalisé",1,IF(H61="Partiel",0.5,IF(H61="Prévu","",0)))</f>
        <v>0.5</v>
      </c>
      <c r="L61" s="17"/>
      <c r="M61" s="17"/>
      <c r="N61" s="17" t="s">
        <v>109</v>
      </c>
    </row>
    <row r="62" customFormat="false" ht="15" hidden="false" customHeight="false" outlineLevel="0" collapsed="false">
      <c r="A62" s="4" t="n">
        <v>328</v>
      </c>
      <c r="B62" s="15" t="n">
        <v>46232</v>
      </c>
      <c r="C62" s="4" t="s">
        <v>28</v>
      </c>
      <c r="D62" s="4" t="s">
        <v>114</v>
      </c>
      <c r="E62" s="17" t="s">
        <v>115</v>
      </c>
      <c r="F62" s="4" t="s">
        <v>106</v>
      </c>
      <c r="G62" s="11" t="n">
        <v>30</v>
      </c>
      <c r="H62" s="4" t="s">
        <v>107</v>
      </c>
      <c r="I62" s="11"/>
      <c r="J62" s="11" t="str">
        <f aca="false">IF(AND(ISNUMBER(G62),ISNUMBER(I62)),I62-G62,"")</f>
        <v/>
      </c>
      <c r="K62" s="10" t="n">
        <f aca="false">IF(H62="Réalisé",1,IF(H62="Partiel",0.5,IF(H62="Prévu","",0)))</f>
        <v>0</v>
      </c>
      <c r="L62" s="17"/>
      <c r="M62" s="17" t="s">
        <v>116</v>
      </c>
      <c r="N62" s="17"/>
    </row>
    <row r="63" customFormat="false" ht="15" hidden="false" customHeight="false" outlineLevel="0" collapsed="false">
      <c r="A63" s="4" t="n">
        <v>329</v>
      </c>
      <c r="B63" s="15" t="n">
        <v>46233</v>
      </c>
      <c r="C63" s="4" t="s">
        <v>28</v>
      </c>
      <c r="D63" s="4" t="s">
        <v>114</v>
      </c>
      <c r="E63" s="17" t="s">
        <v>115</v>
      </c>
      <c r="F63" s="4" t="s">
        <v>122</v>
      </c>
      <c r="G63" s="11" t="n">
        <v>30</v>
      </c>
      <c r="H63" s="4" t="s">
        <v>107</v>
      </c>
      <c r="I63" s="11"/>
      <c r="J63" s="11" t="str">
        <f aca="false">IF(AND(ISNUMBER(G63),ISNUMBER(I63)),I63-G63,"")</f>
        <v/>
      </c>
      <c r="K63" s="10" t="n">
        <f aca="false">IF(H63="Réalisé",1,IF(H63="Partiel",0.5,IF(H63="Prévu","",0)))</f>
        <v>0</v>
      </c>
      <c r="L63" s="17"/>
      <c r="M63" s="17" t="s">
        <v>108</v>
      </c>
      <c r="N63" s="17"/>
    </row>
    <row r="64" customFormat="false" ht="15" hidden="false" customHeight="false" outlineLevel="0" collapsed="false">
      <c r="A64" s="4" t="n">
        <v>330</v>
      </c>
      <c r="B64" s="15" t="n">
        <v>46233</v>
      </c>
      <c r="C64" s="4" t="s">
        <v>27</v>
      </c>
      <c r="D64" s="4" t="s">
        <v>135</v>
      </c>
      <c r="E64" s="17" t="s">
        <v>136</v>
      </c>
      <c r="F64" s="4" t="s">
        <v>122</v>
      </c>
      <c r="G64" s="11" t="n">
        <v>45</v>
      </c>
      <c r="H64" s="4" t="s">
        <v>119</v>
      </c>
      <c r="I64" s="11"/>
      <c r="J64" s="11" t="str">
        <f aca="false">IF(AND(ISNUMBER(G64),ISNUMBER(I64)),I64-G64,"")</f>
        <v/>
      </c>
      <c r="K64" s="10" t="n">
        <f aca="false">IF(H64="Réalisé",1,IF(H64="Partiel",0.5,IF(H64="Prévu","",0)))</f>
        <v>0</v>
      </c>
      <c r="L64" s="17"/>
      <c r="M64" s="17" t="s">
        <v>150</v>
      </c>
      <c r="N64" s="17" t="s">
        <v>138</v>
      </c>
    </row>
    <row r="65" customFormat="false" ht="15" hidden="false" customHeight="false" outlineLevel="0" collapsed="false">
      <c r="A65" s="4" t="n">
        <v>331</v>
      </c>
      <c r="B65" s="15" t="n">
        <v>46233</v>
      </c>
      <c r="C65" s="4" t="s">
        <v>26</v>
      </c>
      <c r="D65" s="4" t="s">
        <v>142</v>
      </c>
      <c r="E65" s="17" t="s">
        <v>143</v>
      </c>
      <c r="F65" s="4" t="s">
        <v>106</v>
      </c>
      <c r="G65" s="11" t="n">
        <v>45</v>
      </c>
      <c r="H65" s="4" t="s">
        <v>113</v>
      </c>
      <c r="I65" s="11" t="n">
        <v>63</v>
      </c>
      <c r="J65" s="11" t="n">
        <f aca="false">IF(AND(ISNUMBER(G65),ISNUMBER(I65)),I65-G65,"")</f>
        <v>18</v>
      </c>
      <c r="K65" s="10" t="n">
        <f aca="false">IF(H65="Réalisé",1,IF(H65="Partiel",0.5,IF(H65="Prévu","",0)))</f>
        <v>1</v>
      </c>
      <c r="L65" s="17"/>
      <c r="M65" s="17"/>
      <c r="N65" s="17"/>
    </row>
    <row r="66" customFormat="false" ht="15" hidden="false" customHeight="false" outlineLevel="0" collapsed="false">
      <c r="A66" s="4" t="n">
        <v>332</v>
      </c>
      <c r="B66" s="15" t="n">
        <v>46233</v>
      </c>
      <c r="C66" s="4" t="s">
        <v>27</v>
      </c>
      <c r="D66" s="4" t="s">
        <v>129</v>
      </c>
      <c r="E66" s="17" t="s">
        <v>130</v>
      </c>
      <c r="F66" s="4" t="s">
        <v>106</v>
      </c>
      <c r="G66" s="11" t="n">
        <v>60</v>
      </c>
      <c r="H66" s="4" t="s">
        <v>113</v>
      </c>
      <c r="I66" s="11" t="n">
        <v>86</v>
      </c>
      <c r="J66" s="11" t="n">
        <f aca="false">IF(AND(ISNUMBER(G66),ISNUMBER(I66)),I66-G66,"")</f>
        <v>26</v>
      </c>
      <c r="K66" s="10" t="n">
        <f aca="false">IF(H66="Réalisé",1,IF(H66="Partiel",0.5,IF(H66="Prévu","",0)))</f>
        <v>1</v>
      </c>
      <c r="L66" s="17"/>
      <c r="M66" s="17"/>
      <c r="N66" s="17"/>
    </row>
    <row r="67" customFormat="false" ht="23.85" hidden="false" customHeight="false" outlineLevel="0" collapsed="false">
      <c r="A67" s="4" t="n">
        <v>333</v>
      </c>
      <c r="B67" s="15" t="n">
        <v>46233</v>
      </c>
      <c r="C67" s="4" t="s">
        <v>26</v>
      </c>
      <c r="D67" s="4" t="s">
        <v>110</v>
      </c>
      <c r="E67" s="17" t="s">
        <v>111</v>
      </c>
      <c r="F67" s="4" t="s">
        <v>106</v>
      </c>
      <c r="G67" s="11" t="n">
        <v>60</v>
      </c>
      <c r="H67" s="4" t="s">
        <v>119</v>
      </c>
      <c r="I67" s="11"/>
      <c r="J67" s="11" t="str">
        <f aca="false">IF(AND(ISNUMBER(G67),ISNUMBER(I67)),I67-G67,"")</f>
        <v/>
      </c>
      <c r="K67" s="10" t="n">
        <f aca="false">IF(H67="Réalisé",1,IF(H67="Partiel",0.5,IF(H67="Prévu","",0)))</f>
        <v>0</v>
      </c>
      <c r="L67" s="17"/>
      <c r="M67" s="17" t="s">
        <v>116</v>
      </c>
      <c r="N67" s="17" t="s">
        <v>109</v>
      </c>
    </row>
    <row r="68" customFormat="false" ht="15" hidden="false" customHeight="false" outlineLevel="0" collapsed="false">
      <c r="A68" s="4" t="n">
        <v>334</v>
      </c>
      <c r="B68" s="15" t="n">
        <v>46234</v>
      </c>
      <c r="C68" s="4" t="s">
        <v>24</v>
      </c>
      <c r="D68" s="4" t="s">
        <v>126</v>
      </c>
      <c r="E68" s="17" t="s">
        <v>127</v>
      </c>
      <c r="F68" s="4" t="s">
        <v>106</v>
      </c>
      <c r="G68" s="11" t="n">
        <v>20</v>
      </c>
      <c r="H68" s="4" t="s">
        <v>113</v>
      </c>
      <c r="I68" s="11" t="n">
        <v>22</v>
      </c>
      <c r="J68" s="11" t="n">
        <f aca="false">IF(AND(ISNUMBER(G68),ISNUMBER(I68)),I68-G68,"")</f>
        <v>2</v>
      </c>
      <c r="K68" s="10" t="n">
        <f aca="false">IF(H68="Réalisé",1,IF(H68="Partiel",0.5,IF(H68="Prévu","",0)))</f>
        <v>1</v>
      </c>
      <c r="L68" s="17"/>
      <c r="M68" s="17"/>
      <c r="N68" s="17" t="s">
        <v>128</v>
      </c>
    </row>
    <row r="69" customFormat="false" ht="15" hidden="false" customHeight="false" outlineLevel="0" collapsed="false">
      <c r="A69" s="4" t="n">
        <v>335</v>
      </c>
      <c r="B69" s="15" t="n">
        <v>46234</v>
      </c>
      <c r="C69" s="4" t="s">
        <v>30</v>
      </c>
      <c r="D69" s="4" t="s">
        <v>120</v>
      </c>
      <c r="E69" s="17" t="s">
        <v>121</v>
      </c>
      <c r="F69" s="4" t="s">
        <v>112</v>
      </c>
      <c r="G69" s="11" t="n">
        <v>30</v>
      </c>
      <c r="H69" s="4" t="s">
        <v>119</v>
      </c>
      <c r="I69" s="11"/>
      <c r="J69" s="11" t="str">
        <f aca="false">IF(AND(ISNUMBER(G69),ISNUMBER(I69)),I69-G69,"")</f>
        <v/>
      </c>
      <c r="K69" s="10" t="n">
        <f aca="false">IF(H69="Réalisé",1,IF(H69="Partiel",0.5,IF(H69="Prévu","",0)))</f>
        <v>0</v>
      </c>
      <c r="L69" s="17"/>
      <c r="M69" s="17" t="s">
        <v>137</v>
      </c>
      <c r="N69" s="17"/>
    </row>
    <row r="70" customFormat="false" ht="15" hidden="false" customHeight="false" outlineLevel="0" collapsed="false">
      <c r="A70" s="4" t="n">
        <v>336</v>
      </c>
      <c r="B70" s="15" t="n">
        <v>46234</v>
      </c>
      <c r="C70" s="4" t="s">
        <v>27</v>
      </c>
      <c r="D70" s="4" t="s">
        <v>129</v>
      </c>
      <c r="E70" s="17" t="s">
        <v>130</v>
      </c>
      <c r="F70" s="4" t="s">
        <v>106</v>
      </c>
      <c r="G70" s="11" t="n">
        <v>60</v>
      </c>
      <c r="H70" s="4" t="s">
        <v>123</v>
      </c>
      <c r="I70" s="11"/>
      <c r="J70" s="11" t="str">
        <f aca="false">IF(AND(ISNUMBER(G70),ISNUMBER(I70)),I70-G70,"")</f>
        <v/>
      </c>
      <c r="K70" s="10" t="n">
        <f aca="false">IF(H70="Réalisé",1,IF(H70="Partiel",0.5,IF(H70="Prévu","",0)))</f>
        <v>0</v>
      </c>
      <c r="L70" s="17"/>
      <c r="M70" s="17" t="s">
        <v>150</v>
      </c>
      <c r="N70" s="17"/>
    </row>
    <row r="71" customFormat="false" ht="15" hidden="false" customHeight="false" outlineLevel="0" collapsed="false">
      <c r="A71" s="4" t="n">
        <v>337</v>
      </c>
      <c r="B71" s="15" t="n">
        <v>46234</v>
      </c>
      <c r="C71" s="4" t="s">
        <v>29</v>
      </c>
      <c r="D71" s="4" t="s">
        <v>124</v>
      </c>
      <c r="E71" s="17" t="s">
        <v>125</v>
      </c>
      <c r="F71" s="4" t="s">
        <v>106</v>
      </c>
      <c r="G71" s="11" t="n">
        <v>20</v>
      </c>
      <c r="H71" s="4" t="s">
        <v>134</v>
      </c>
      <c r="I71" s="11" t="n">
        <v>13</v>
      </c>
      <c r="J71" s="11" t="n">
        <f aca="false">IF(AND(ISNUMBER(G71),ISNUMBER(I71)),I71-G71,"")</f>
        <v>-7</v>
      </c>
      <c r="K71" s="10" t="n">
        <f aca="false">IF(H71="Réalisé",1,IF(H71="Partiel",0.5,IF(H71="Prévu","",0)))</f>
        <v>0.5</v>
      </c>
      <c r="L71" s="17"/>
      <c r="M71" s="17"/>
      <c r="N71" s="17"/>
    </row>
    <row r="72" customFormat="false" ht="15" hidden="false" customHeight="false" outlineLevel="0" collapsed="false">
      <c r="A72" s="4" t="n">
        <v>338</v>
      </c>
      <c r="B72" s="15" t="n">
        <v>46234</v>
      </c>
      <c r="C72" s="4" t="s">
        <v>27</v>
      </c>
      <c r="D72" s="4" t="s">
        <v>135</v>
      </c>
      <c r="E72" s="17" t="s">
        <v>136</v>
      </c>
      <c r="F72" s="4" t="s">
        <v>106</v>
      </c>
      <c r="G72" s="11" t="n">
        <v>45</v>
      </c>
      <c r="H72" s="4" t="s">
        <v>107</v>
      </c>
      <c r="I72" s="11"/>
      <c r="J72" s="11" t="str">
        <f aca="false">IF(AND(ISNUMBER(G72),ISNUMBER(I72)),I72-G72,"")</f>
        <v/>
      </c>
      <c r="K72" s="10" t="n">
        <f aca="false">IF(H72="Réalisé",1,IF(H72="Partiel",0.5,IF(H72="Prévu","",0)))</f>
        <v>0</v>
      </c>
      <c r="L72" s="17"/>
      <c r="M72" s="17" t="s">
        <v>116</v>
      </c>
      <c r="N72" s="17" t="s">
        <v>138</v>
      </c>
    </row>
    <row r="73" customFormat="false" ht="23.85" hidden="false" customHeight="false" outlineLevel="0" collapsed="false">
      <c r="A73" s="4" t="n">
        <v>339</v>
      </c>
      <c r="B73" s="15" t="n">
        <v>46234</v>
      </c>
      <c r="C73" s="4" t="s">
        <v>26</v>
      </c>
      <c r="D73" s="4" t="s">
        <v>110</v>
      </c>
      <c r="E73" s="17" t="s">
        <v>111</v>
      </c>
      <c r="F73" s="4" t="s">
        <v>122</v>
      </c>
      <c r="G73" s="11" t="n">
        <v>60</v>
      </c>
      <c r="H73" s="4" t="s">
        <v>123</v>
      </c>
      <c r="I73" s="11"/>
      <c r="J73" s="11" t="str">
        <f aca="false">IF(AND(ISNUMBER(G73),ISNUMBER(I73)),I73-G73,"")</f>
        <v/>
      </c>
      <c r="K73" s="10" t="n">
        <f aca="false">IF(H73="Réalisé",1,IF(H73="Partiel",0.5,IF(H73="Prévu","",0)))</f>
        <v>0</v>
      </c>
      <c r="L73" s="17"/>
      <c r="M73" s="17" t="s">
        <v>146</v>
      </c>
      <c r="N73" s="17" t="s">
        <v>109</v>
      </c>
    </row>
    <row r="74" customFormat="false" ht="23.85" hidden="false" customHeight="false" outlineLevel="0" collapsed="false">
      <c r="A74" s="4" t="n">
        <v>340</v>
      </c>
      <c r="B74" s="15" t="n">
        <v>46235</v>
      </c>
      <c r="C74" s="4" t="s">
        <v>26</v>
      </c>
      <c r="D74" s="4" t="s">
        <v>104</v>
      </c>
      <c r="E74" s="17" t="s">
        <v>105</v>
      </c>
      <c r="F74" s="4" t="s">
        <v>106</v>
      </c>
      <c r="G74" s="11" t="n">
        <v>120</v>
      </c>
      <c r="H74" s="4" t="s">
        <v>107</v>
      </c>
      <c r="I74" s="11"/>
      <c r="J74" s="11" t="str">
        <f aca="false">IF(AND(ISNUMBER(G74),ISNUMBER(I74)),I74-G74,"")</f>
        <v/>
      </c>
      <c r="K74" s="10" t="n">
        <f aca="false">IF(H74="Réalisé",1,IF(H74="Partiel",0.5,IF(H74="Prévu","",0)))</f>
        <v>0</v>
      </c>
      <c r="L74" s="17"/>
      <c r="M74" s="17" t="s">
        <v>146</v>
      </c>
      <c r="N74" s="17" t="s">
        <v>109</v>
      </c>
    </row>
    <row r="75" customFormat="false" ht="15" hidden="false" customHeight="false" outlineLevel="0" collapsed="false">
      <c r="A75" s="4" t="n">
        <v>341</v>
      </c>
      <c r="B75" s="15" t="n">
        <v>46235</v>
      </c>
      <c r="C75" s="4" t="s">
        <v>30</v>
      </c>
      <c r="D75" s="4" t="s">
        <v>120</v>
      </c>
      <c r="E75" s="17" t="s">
        <v>121</v>
      </c>
      <c r="F75" s="4" t="s">
        <v>122</v>
      </c>
      <c r="G75" s="11" t="n">
        <v>30</v>
      </c>
      <c r="H75" s="4" t="s">
        <v>123</v>
      </c>
      <c r="I75" s="11"/>
      <c r="J75" s="11" t="str">
        <f aca="false">IF(AND(ISNUMBER(G75),ISNUMBER(I75)),I75-G75,"")</f>
        <v/>
      </c>
      <c r="K75" s="10" t="n">
        <f aca="false">IF(H75="Réalisé",1,IF(H75="Partiel",0.5,IF(H75="Prévu","",0)))</f>
        <v>0</v>
      </c>
      <c r="L75" s="17"/>
      <c r="M75" s="17" t="s">
        <v>137</v>
      </c>
      <c r="N75" s="17"/>
    </row>
    <row r="76" customFormat="false" ht="15" hidden="false" customHeight="false" outlineLevel="0" collapsed="false">
      <c r="A76" s="4" t="n">
        <v>342</v>
      </c>
      <c r="B76" s="15" t="n">
        <v>46235</v>
      </c>
      <c r="C76" s="4" t="s">
        <v>26</v>
      </c>
      <c r="D76" s="4" t="s">
        <v>142</v>
      </c>
      <c r="E76" s="17" t="s">
        <v>143</v>
      </c>
      <c r="F76" s="4" t="s">
        <v>112</v>
      </c>
      <c r="G76" s="11" t="n">
        <v>45</v>
      </c>
      <c r="H76" s="4" t="s">
        <v>113</v>
      </c>
      <c r="I76" s="11" t="n">
        <v>53</v>
      </c>
      <c r="J76" s="11" t="n">
        <f aca="false">IF(AND(ISNUMBER(G76),ISNUMBER(I76)),I76-G76,"")</f>
        <v>8</v>
      </c>
      <c r="K76" s="10" t="n">
        <f aca="false">IF(H76="Réalisé",1,IF(H76="Partiel",0.5,IF(H76="Prévu","",0)))</f>
        <v>1</v>
      </c>
      <c r="L76" s="17"/>
      <c r="M76" s="17"/>
      <c r="N76" s="17"/>
    </row>
    <row r="77" customFormat="false" ht="15" hidden="false" customHeight="false" outlineLevel="0" collapsed="false">
      <c r="A77" s="4" t="n">
        <v>343</v>
      </c>
      <c r="B77" s="15" t="n">
        <v>46235</v>
      </c>
      <c r="C77" s="4" t="s">
        <v>27</v>
      </c>
      <c r="D77" s="4" t="s">
        <v>129</v>
      </c>
      <c r="E77" s="17" t="s">
        <v>130</v>
      </c>
      <c r="F77" s="4" t="s">
        <v>106</v>
      </c>
      <c r="G77" s="11" t="n">
        <v>60</v>
      </c>
      <c r="H77" s="4" t="s">
        <v>119</v>
      </c>
      <c r="I77" s="11"/>
      <c r="J77" s="11" t="str">
        <f aca="false">IF(AND(ISNUMBER(G77),ISNUMBER(I77)),I77-G77,"")</f>
        <v/>
      </c>
      <c r="K77" s="10" t="n">
        <f aca="false">IF(H77="Réalisé",1,IF(H77="Partiel",0.5,IF(H77="Prévu","",0)))</f>
        <v>0</v>
      </c>
      <c r="L77" s="17"/>
      <c r="M77" s="17" t="s">
        <v>131</v>
      </c>
      <c r="N77" s="17"/>
    </row>
    <row r="78" customFormat="false" ht="23.85" hidden="false" customHeight="false" outlineLevel="0" collapsed="false">
      <c r="A78" s="4" t="n">
        <v>344</v>
      </c>
      <c r="B78" s="15" t="n">
        <v>46235</v>
      </c>
      <c r="C78" s="4" t="s">
        <v>26</v>
      </c>
      <c r="D78" s="4" t="s">
        <v>110</v>
      </c>
      <c r="E78" s="17" t="s">
        <v>111</v>
      </c>
      <c r="F78" s="4" t="s">
        <v>106</v>
      </c>
      <c r="G78" s="11" t="n">
        <v>60</v>
      </c>
      <c r="H78" s="4" t="s">
        <v>119</v>
      </c>
      <c r="I78" s="11"/>
      <c r="J78" s="11" t="str">
        <f aca="false">IF(AND(ISNUMBER(G78),ISNUMBER(I78)),I78-G78,"")</f>
        <v/>
      </c>
      <c r="K78" s="10" t="n">
        <f aca="false">IF(H78="Réalisé",1,IF(H78="Partiel",0.5,IF(H78="Prévu","",0)))</f>
        <v>0</v>
      </c>
      <c r="L78" s="17"/>
      <c r="M78" s="17" t="s">
        <v>137</v>
      </c>
      <c r="N78" s="17" t="s">
        <v>109</v>
      </c>
    </row>
    <row r="79" customFormat="false" ht="23.85" hidden="false" customHeight="false" outlineLevel="0" collapsed="false">
      <c r="A79" s="4" t="n">
        <v>345</v>
      </c>
      <c r="B79" s="15" t="n">
        <v>46236</v>
      </c>
      <c r="C79" s="4" t="s">
        <v>26</v>
      </c>
      <c r="D79" s="4" t="s">
        <v>110</v>
      </c>
      <c r="E79" s="17" t="s">
        <v>111</v>
      </c>
      <c r="F79" s="4" t="s">
        <v>122</v>
      </c>
      <c r="G79" s="11" t="n">
        <v>60</v>
      </c>
      <c r="H79" s="4" t="s">
        <v>113</v>
      </c>
      <c r="I79" s="11" t="n">
        <v>66</v>
      </c>
      <c r="J79" s="11" t="n">
        <f aca="false">IF(AND(ISNUMBER(G79),ISNUMBER(I79)),I79-G79,"")</f>
        <v>6</v>
      </c>
      <c r="K79" s="10" t="n">
        <f aca="false">IF(H79="Réalisé",1,IF(H79="Partiel",0.5,IF(H79="Prévu","",0)))</f>
        <v>1</v>
      </c>
      <c r="L79" s="17" t="s">
        <v>145</v>
      </c>
      <c r="M79" s="17"/>
      <c r="N79" s="17" t="s">
        <v>109</v>
      </c>
    </row>
    <row r="80" customFormat="false" ht="15" hidden="false" customHeight="false" outlineLevel="0" collapsed="false">
      <c r="A80" s="4" t="n">
        <v>346</v>
      </c>
      <c r="B80" s="15" t="n">
        <v>46236</v>
      </c>
      <c r="C80" s="4" t="s">
        <v>28</v>
      </c>
      <c r="D80" s="4" t="s">
        <v>114</v>
      </c>
      <c r="E80" s="17" t="s">
        <v>115</v>
      </c>
      <c r="F80" s="4" t="s">
        <v>112</v>
      </c>
      <c r="G80" s="11" t="n">
        <v>30</v>
      </c>
      <c r="H80" s="4" t="s">
        <v>119</v>
      </c>
      <c r="I80" s="11"/>
      <c r="J80" s="11" t="str">
        <f aca="false">IF(AND(ISNUMBER(G80),ISNUMBER(I80)),I80-G80,"")</f>
        <v/>
      </c>
      <c r="K80" s="10" t="n">
        <f aca="false">IF(H80="Réalisé",1,IF(H80="Partiel",0.5,IF(H80="Prévu","",0)))</f>
        <v>0</v>
      </c>
      <c r="L80" s="17"/>
      <c r="M80" s="17" t="s">
        <v>116</v>
      </c>
      <c r="N80" s="17"/>
    </row>
    <row r="81" customFormat="false" ht="15" hidden="false" customHeight="false" outlineLevel="0" collapsed="false">
      <c r="A81" s="4" t="n">
        <v>347</v>
      </c>
      <c r="B81" s="15" t="n">
        <v>46236</v>
      </c>
      <c r="C81" s="4" t="s">
        <v>25</v>
      </c>
      <c r="D81" s="4" t="s">
        <v>147</v>
      </c>
      <c r="E81" s="17" t="s">
        <v>148</v>
      </c>
      <c r="F81" s="4" t="s">
        <v>106</v>
      </c>
      <c r="G81" s="11" t="n">
        <v>30</v>
      </c>
      <c r="H81" s="4" t="s">
        <v>119</v>
      </c>
      <c r="I81" s="11"/>
      <c r="J81" s="11" t="str">
        <f aca="false">IF(AND(ISNUMBER(G81),ISNUMBER(I81)),I81-G81,"")</f>
        <v/>
      </c>
      <c r="K81" s="10" t="n">
        <f aca="false">IF(H81="Réalisé",1,IF(H81="Partiel",0.5,IF(H81="Prévu","",0)))</f>
        <v>0</v>
      </c>
      <c r="L81" s="17"/>
      <c r="M81" s="17" t="s">
        <v>116</v>
      </c>
      <c r="N81" s="17" t="s">
        <v>149</v>
      </c>
    </row>
    <row r="82" customFormat="false" ht="23.85" hidden="false" customHeight="false" outlineLevel="0" collapsed="false">
      <c r="A82" s="4" t="n">
        <v>348</v>
      </c>
      <c r="B82" s="15" t="n">
        <v>46236</v>
      </c>
      <c r="C82" s="4" t="s">
        <v>26</v>
      </c>
      <c r="D82" s="4" t="s">
        <v>104</v>
      </c>
      <c r="E82" s="17" t="s">
        <v>105</v>
      </c>
      <c r="F82" s="4" t="s">
        <v>106</v>
      </c>
      <c r="G82" s="11" t="n">
        <v>120</v>
      </c>
      <c r="H82" s="4" t="s">
        <v>123</v>
      </c>
      <c r="I82" s="11"/>
      <c r="J82" s="11" t="str">
        <f aca="false">IF(AND(ISNUMBER(G82),ISNUMBER(I82)),I82-G82,"")</f>
        <v/>
      </c>
      <c r="K82" s="10" t="n">
        <f aca="false">IF(H82="Réalisé",1,IF(H82="Partiel",0.5,IF(H82="Prévu","",0)))</f>
        <v>0</v>
      </c>
      <c r="L82" s="17"/>
      <c r="M82" s="17" t="s">
        <v>116</v>
      </c>
      <c r="N82" s="17" t="s">
        <v>109</v>
      </c>
    </row>
    <row r="83" customFormat="false" ht="15" hidden="false" customHeight="false" outlineLevel="0" collapsed="false">
      <c r="A83" s="4" t="n">
        <v>349</v>
      </c>
      <c r="B83" s="15" t="n">
        <v>46236</v>
      </c>
      <c r="C83" s="4" t="s">
        <v>24</v>
      </c>
      <c r="D83" s="4" t="s">
        <v>132</v>
      </c>
      <c r="E83" s="17" t="s">
        <v>133</v>
      </c>
      <c r="F83" s="4" t="s">
        <v>122</v>
      </c>
      <c r="G83" s="11" t="n">
        <v>15</v>
      </c>
      <c r="H83" s="4" t="s">
        <v>107</v>
      </c>
      <c r="I83" s="11"/>
      <c r="J83" s="11" t="str">
        <f aca="false">IF(AND(ISNUMBER(G83),ISNUMBER(I83)),I83-G83,"")</f>
        <v/>
      </c>
      <c r="K83" s="10" t="n">
        <f aca="false">IF(H83="Réalisé",1,IF(H83="Partiel",0.5,IF(H83="Prévu","",0)))</f>
        <v>0</v>
      </c>
      <c r="L83" s="17"/>
      <c r="M83" s="17" t="s">
        <v>116</v>
      </c>
      <c r="N83" s="17"/>
    </row>
    <row r="84" customFormat="false" ht="15" hidden="false" customHeight="false" outlineLevel="0" collapsed="false">
      <c r="A84" s="4" t="n">
        <v>350</v>
      </c>
      <c r="B84" s="15" t="n">
        <v>46236</v>
      </c>
      <c r="C84" s="4" t="s">
        <v>27</v>
      </c>
      <c r="D84" s="4" t="s">
        <v>129</v>
      </c>
      <c r="E84" s="17" t="s">
        <v>130</v>
      </c>
      <c r="F84" s="4" t="s">
        <v>122</v>
      </c>
      <c r="G84" s="11" t="n">
        <v>60</v>
      </c>
      <c r="H84" s="4" t="s">
        <v>107</v>
      </c>
      <c r="I84" s="11"/>
      <c r="J84" s="11" t="str">
        <f aca="false">IF(AND(ISNUMBER(G84),ISNUMBER(I84)),I84-G84,"")</f>
        <v/>
      </c>
      <c r="K84" s="10" t="n">
        <f aca="false">IF(H84="Réalisé",1,IF(H84="Partiel",0.5,IF(H84="Prévu","",0)))</f>
        <v>0</v>
      </c>
      <c r="L84" s="17"/>
      <c r="M84" s="17" t="s">
        <v>116</v>
      </c>
      <c r="N84" s="17"/>
    </row>
    <row r="85" customFormat="false" ht="15" hidden="false" customHeight="false" outlineLevel="0" collapsed="false">
      <c r="A85" s="4" t="n">
        <v>351</v>
      </c>
      <c r="B85" s="15" t="n">
        <v>46236</v>
      </c>
      <c r="C85" s="4" t="s">
        <v>24</v>
      </c>
      <c r="D85" s="4" t="s">
        <v>126</v>
      </c>
      <c r="E85" s="17" t="s">
        <v>127</v>
      </c>
      <c r="F85" s="4" t="s">
        <v>112</v>
      </c>
      <c r="G85" s="11" t="n">
        <v>20</v>
      </c>
      <c r="H85" s="4" t="s">
        <v>113</v>
      </c>
      <c r="I85" s="11" t="n">
        <v>28</v>
      </c>
      <c r="J85" s="11" t="n">
        <f aca="false">IF(AND(ISNUMBER(G85),ISNUMBER(I85)),I85-G85,"")</f>
        <v>8</v>
      </c>
      <c r="K85" s="10" t="n">
        <f aca="false">IF(H85="Réalisé",1,IF(H85="Partiel",0.5,IF(H85="Prévu","",0)))</f>
        <v>1</v>
      </c>
      <c r="L85" s="17"/>
      <c r="M85" s="17"/>
      <c r="N85" s="17" t="s">
        <v>128</v>
      </c>
    </row>
    <row r="86" customFormat="false" ht="15" hidden="false" customHeight="false" outlineLevel="0" collapsed="false">
      <c r="A86" s="4" t="n">
        <v>352</v>
      </c>
      <c r="B86" s="15" t="n">
        <v>46237</v>
      </c>
      <c r="C86" s="4" t="s">
        <v>28</v>
      </c>
      <c r="D86" s="4" t="s">
        <v>114</v>
      </c>
      <c r="E86" s="17" t="s">
        <v>115</v>
      </c>
      <c r="F86" s="4" t="s">
        <v>106</v>
      </c>
      <c r="G86" s="11" t="n">
        <v>30</v>
      </c>
      <c r="H86" s="4" t="s">
        <v>119</v>
      </c>
      <c r="I86" s="11"/>
      <c r="J86" s="11" t="str">
        <f aca="false">IF(AND(ISNUMBER(G86),ISNUMBER(I86)),I86-G86,"")</f>
        <v/>
      </c>
      <c r="K86" s="10" t="n">
        <f aca="false">IF(H86="Réalisé",1,IF(H86="Partiel",0.5,IF(H86="Prévu","",0)))</f>
        <v>0</v>
      </c>
      <c r="L86" s="17"/>
      <c r="M86" s="17" t="s">
        <v>146</v>
      </c>
      <c r="N86" s="17"/>
    </row>
    <row r="87" customFormat="false" ht="23.85" hidden="false" customHeight="false" outlineLevel="0" collapsed="false">
      <c r="A87" s="4" t="n">
        <v>353</v>
      </c>
      <c r="B87" s="15" t="n">
        <v>46237</v>
      </c>
      <c r="C87" s="4" t="s">
        <v>26</v>
      </c>
      <c r="D87" s="4" t="s">
        <v>110</v>
      </c>
      <c r="E87" s="17" t="s">
        <v>111</v>
      </c>
      <c r="F87" s="4" t="s">
        <v>122</v>
      </c>
      <c r="G87" s="11" t="n">
        <v>60</v>
      </c>
      <c r="H87" s="4" t="s">
        <v>123</v>
      </c>
      <c r="I87" s="11"/>
      <c r="J87" s="11" t="str">
        <f aca="false">IF(AND(ISNUMBER(G87),ISNUMBER(I87)),I87-G87,"")</f>
        <v/>
      </c>
      <c r="K87" s="10" t="n">
        <f aca="false">IF(H87="Réalisé",1,IF(H87="Partiel",0.5,IF(H87="Prévu","",0)))</f>
        <v>0</v>
      </c>
      <c r="L87" s="17"/>
      <c r="M87" s="17" t="s">
        <v>150</v>
      </c>
      <c r="N87" s="17" t="s">
        <v>109</v>
      </c>
    </row>
    <row r="88" customFormat="false" ht="15" hidden="false" customHeight="false" outlineLevel="0" collapsed="false">
      <c r="A88" s="4" t="n">
        <v>354</v>
      </c>
      <c r="B88" s="15" t="n">
        <v>46238</v>
      </c>
      <c r="C88" s="4" t="s">
        <v>25</v>
      </c>
      <c r="D88" s="4" t="s">
        <v>147</v>
      </c>
      <c r="E88" s="17" t="s">
        <v>148</v>
      </c>
      <c r="F88" s="4" t="s">
        <v>106</v>
      </c>
      <c r="G88" s="11" t="n">
        <v>30</v>
      </c>
      <c r="H88" s="4" t="s">
        <v>123</v>
      </c>
      <c r="I88" s="11"/>
      <c r="J88" s="11" t="str">
        <f aca="false">IF(AND(ISNUMBER(G88),ISNUMBER(I88)),I88-G88,"")</f>
        <v/>
      </c>
      <c r="K88" s="10" t="n">
        <f aca="false">IF(H88="Réalisé",1,IF(H88="Partiel",0.5,IF(H88="Prévu","",0)))</f>
        <v>0</v>
      </c>
      <c r="L88" s="17"/>
      <c r="M88" s="17" t="s">
        <v>131</v>
      </c>
      <c r="N88" s="17" t="s">
        <v>149</v>
      </c>
    </row>
    <row r="89" customFormat="false" ht="23.85" hidden="false" customHeight="false" outlineLevel="0" collapsed="false">
      <c r="A89" s="4" t="n">
        <v>355</v>
      </c>
      <c r="B89" s="15" t="n">
        <v>46238</v>
      </c>
      <c r="C89" s="4" t="s">
        <v>26</v>
      </c>
      <c r="D89" s="4" t="s">
        <v>104</v>
      </c>
      <c r="E89" s="17" t="s">
        <v>105</v>
      </c>
      <c r="F89" s="4" t="s">
        <v>106</v>
      </c>
      <c r="G89" s="11" t="n">
        <v>120</v>
      </c>
      <c r="H89" s="4" t="s">
        <v>113</v>
      </c>
      <c r="I89" s="11" t="n">
        <v>201</v>
      </c>
      <c r="J89" s="11" t="n">
        <f aca="false">IF(AND(ISNUMBER(G89),ISNUMBER(I89)),I89-G89,"")</f>
        <v>81</v>
      </c>
      <c r="K89" s="10" t="n">
        <f aca="false">IF(H89="Réalisé",1,IF(H89="Partiel",0.5,IF(H89="Prévu","",0)))</f>
        <v>1</v>
      </c>
      <c r="L89" s="17" t="s">
        <v>151</v>
      </c>
      <c r="M89" s="17"/>
      <c r="N89" s="17" t="s">
        <v>109</v>
      </c>
    </row>
    <row r="90" customFormat="false" ht="15" hidden="false" customHeight="false" outlineLevel="0" collapsed="false">
      <c r="A90" s="4" t="n">
        <v>356</v>
      </c>
      <c r="B90" s="15" t="n">
        <v>46238</v>
      </c>
      <c r="C90" s="4" t="s">
        <v>24</v>
      </c>
      <c r="D90" s="4" t="s">
        <v>132</v>
      </c>
      <c r="E90" s="17" t="s">
        <v>133</v>
      </c>
      <c r="F90" s="4" t="s">
        <v>122</v>
      </c>
      <c r="G90" s="11" t="n">
        <v>15</v>
      </c>
      <c r="H90" s="4" t="s">
        <v>107</v>
      </c>
      <c r="I90" s="11"/>
      <c r="J90" s="11" t="str">
        <f aca="false">IF(AND(ISNUMBER(G90),ISNUMBER(I90)),I90-G90,"")</f>
        <v/>
      </c>
      <c r="K90" s="10" t="n">
        <f aca="false">IF(H90="Réalisé",1,IF(H90="Partiel",0.5,IF(H90="Prévu","",0)))</f>
        <v>0</v>
      </c>
      <c r="L90" s="17"/>
      <c r="M90" s="17" t="s">
        <v>116</v>
      </c>
      <c r="N90" s="17"/>
    </row>
    <row r="91" customFormat="false" ht="15" hidden="false" customHeight="false" outlineLevel="0" collapsed="false">
      <c r="A91" s="4" t="n">
        <v>357</v>
      </c>
      <c r="B91" s="15" t="n">
        <v>46238</v>
      </c>
      <c r="C91" s="4" t="s">
        <v>26</v>
      </c>
      <c r="D91" s="4" t="s">
        <v>140</v>
      </c>
      <c r="E91" s="17" t="s">
        <v>141</v>
      </c>
      <c r="F91" s="4" t="s">
        <v>112</v>
      </c>
      <c r="G91" s="11" t="n">
        <v>60</v>
      </c>
      <c r="H91" s="4" t="s">
        <v>119</v>
      </c>
      <c r="I91" s="11"/>
      <c r="J91" s="11" t="str">
        <f aca="false">IF(AND(ISNUMBER(G91),ISNUMBER(I91)),I91-G91,"")</f>
        <v/>
      </c>
      <c r="K91" s="10" t="n">
        <f aca="false">IF(H91="Réalisé",1,IF(H91="Partiel",0.5,IF(H91="Prévu","",0)))</f>
        <v>0</v>
      </c>
      <c r="L91" s="17"/>
      <c r="M91" s="17" t="s">
        <v>116</v>
      </c>
      <c r="N91" s="17"/>
    </row>
    <row r="92" customFormat="false" ht="15" hidden="false" customHeight="false" outlineLevel="0" collapsed="false">
      <c r="A92" s="4" t="n">
        <v>358</v>
      </c>
      <c r="B92" s="15" t="n">
        <v>46238</v>
      </c>
      <c r="C92" s="4" t="s">
        <v>28</v>
      </c>
      <c r="D92" s="4" t="s">
        <v>114</v>
      </c>
      <c r="E92" s="17" t="s">
        <v>115</v>
      </c>
      <c r="F92" s="4" t="s">
        <v>122</v>
      </c>
      <c r="G92" s="11" t="n">
        <v>30</v>
      </c>
      <c r="H92" s="4" t="s">
        <v>107</v>
      </c>
      <c r="I92" s="11"/>
      <c r="J92" s="11" t="str">
        <f aca="false">IF(AND(ISNUMBER(G92),ISNUMBER(I92)),I92-G92,"")</f>
        <v/>
      </c>
      <c r="K92" s="10" t="n">
        <f aca="false">IF(H92="Réalisé",1,IF(H92="Partiel",0.5,IF(H92="Prévu","",0)))</f>
        <v>0</v>
      </c>
      <c r="L92" s="17"/>
      <c r="M92" s="17" t="s">
        <v>116</v>
      </c>
      <c r="N92" s="17"/>
    </row>
    <row r="93" customFormat="false" ht="15" hidden="false" customHeight="false" outlineLevel="0" collapsed="false">
      <c r="A93" s="4" t="n">
        <v>359</v>
      </c>
      <c r="B93" s="15" t="n">
        <v>46238</v>
      </c>
      <c r="C93" s="4" t="s">
        <v>30</v>
      </c>
      <c r="D93" s="4" t="s">
        <v>120</v>
      </c>
      <c r="E93" s="17" t="s">
        <v>121</v>
      </c>
      <c r="F93" s="4" t="s">
        <v>106</v>
      </c>
      <c r="G93" s="11" t="n">
        <v>30</v>
      </c>
      <c r="H93" s="4" t="s">
        <v>113</v>
      </c>
      <c r="I93" s="11" t="n">
        <v>25</v>
      </c>
      <c r="J93" s="11" t="n">
        <f aca="false">IF(AND(ISNUMBER(G93),ISNUMBER(I93)),I93-G93,"")</f>
        <v>-5</v>
      </c>
      <c r="K93" s="10" t="n">
        <f aca="false">IF(H93="Réalisé",1,IF(H93="Partiel",0.5,IF(H93="Prévu","",0)))</f>
        <v>1</v>
      </c>
      <c r="L93" s="17"/>
      <c r="M93" s="17"/>
      <c r="N93" s="17"/>
    </row>
    <row r="94" customFormat="false" ht="23.85" hidden="false" customHeight="false" outlineLevel="0" collapsed="false">
      <c r="A94" s="4" t="n">
        <v>360</v>
      </c>
      <c r="B94" s="15" t="n">
        <v>46238</v>
      </c>
      <c r="C94" s="4" t="s">
        <v>26</v>
      </c>
      <c r="D94" s="4" t="s">
        <v>110</v>
      </c>
      <c r="E94" s="17" t="s">
        <v>111</v>
      </c>
      <c r="F94" s="4" t="s">
        <v>122</v>
      </c>
      <c r="G94" s="11" t="n">
        <v>60</v>
      </c>
      <c r="H94" s="4" t="s">
        <v>134</v>
      </c>
      <c r="I94" s="11" t="n">
        <v>52</v>
      </c>
      <c r="J94" s="11" t="n">
        <f aca="false">IF(AND(ISNUMBER(G94),ISNUMBER(I94)),I94-G94,"")</f>
        <v>-8</v>
      </c>
      <c r="K94" s="10" t="n">
        <f aca="false">IF(H94="Réalisé",1,IF(H94="Partiel",0.5,IF(H94="Prévu","",0)))</f>
        <v>0.5</v>
      </c>
      <c r="L94" s="17" t="s">
        <v>139</v>
      </c>
      <c r="M94" s="17"/>
      <c r="N94" s="17" t="s">
        <v>109</v>
      </c>
    </row>
    <row r="95" customFormat="false" ht="15" hidden="false" customHeight="false" outlineLevel="0" collapsed="false">
      <c r="A95" s="4" t="n">
        <v>361</v>
      </c>
      <c r="B95" s="15" t="n">
        <v>46239</v>
      </c>
      <c r="C95" s="4" t="s">
        <v>27</v>
      </c>
      <c r="D95" s="4" t="s">
        <v>135</v>
      </c>
      <c r="E95" s="17" t="s">
        <v>136</v>
      </c>
      <c r="F95" s="4" t="s">
        <v>112</v>
      </c>
      <c r="G95" s="11" t="n">
        <v>45</v>
      </c>
      <c r="H95" s="4" t="s">
        <v>119</v>
      </c>
      <c r="I95" s="11"/>
      <c r="J95" s="11" t="str">
        <f aca="false">IF(AND(ISNUMBER(G95),ISNUMBER(I95)),I95-G95,"")</f>
        <v/>
      </c>
      <c r="K95" s="10" t="n">
        <f aca="false">IF(H95="Réalisé",1,IF(H95="Partiel",0.5,IF(H95="Prévu","",0)))</f>
        <v>0</v>
      </c>
      <c r="L95" s="17"/>
      <c r="M95" s="17" t="s">
        <v>116</v>
      </c>
      <c r="N95" s="17" t="s">
        <v>138</v>
      </c>
    </row>
    <row r="96" customFormat="false" ht="15" hidden="false" customHeight="false" outlineLevel="0" collapsed="false">
      <c r="A96" s="4" t="n">
        <v>362</v>
      </c>
      <c r="B96" s="15" t="n">
        <v>46239</v>
      </c>
      <c r="C96" s="4" t="s">
        <v>25</v>
      </c>
      <c r="D96" s="4" t="s">
        <v>117</v>
      </c>
      <c r="E96" s="17" t="s">
        <v>118</v>
      </c>
      <c r="F96" s="4" t="s">
        <v>112</v>
      </c>
      <c r="G96" s="11" t="n">
        <v>40</v>
      </c>
      <c r="H96" s="4" t="s">
        <v>119</v>
      </c>
      <c r="I96" s="11"/>
      <c r="J96" s="11" t="str">
        <f aca="false">IF(AND(ISNUMBER(G96),ISNUMBER(I96)),I96-G96,"")</f>
        <v/>
      </c>
      <c r="K96" s="10" t="n">
        <f aca="false">IF(H96="Réalisé",1,IF(H96="Partiel",0.5,IF(H96="Prévu","",0)))</f>
        <v>0</v>
      </c>
      <c r="L96" s="17"/>
      <c r="M96" s="17" t="s">
        <v>116</v>
      </c>
      <c r="N96" s="17"/>
    </row>
    <row r="97" customFormat="false" ht="23.85" hidden="false" customHeight="false" outlineLevel="0" collapsed="false">
      <c r="A97" s="4" t="n">
        <v>363</v>
      </c>
      <c r="B97" s="15" t="n">
        <v>46240</v>
      </c>
      <c r="C97" s="4" t="s">
        <v>26</v>
      </c>
      <c r="D97" s="4" t="s">
        <v>110</v>
      </c>
      <c r="E97" s="17" t="s">
        <v>111</v>
      </c>
      <c r="F97" s="4" t="s">
        <v>106</v>
      </c>
      <c r="G97" s="11" t="n">
        <v>60</v>
      </c>
      <c r="H97" s="4" t="s">
        <v>119</v>
      </c>
      <c r="I97" s="11"/>
      <c r="J97" s="11" t="str">
        <f aca="false">IF(AND(ISNUMBER(G97),ISNUMBER(I97)),I97-G97,"")</f>
        <v/>
      </c>
      <c r="K97" s="10" t="n">
        <f aca="false">IF(H97="Réalisé",1,IF(H97="Partiel",0.5,IF(H97="Prévu","",0)))</f>
        <v>0</v>
      </c>
      <c r="L97" s="17"/>
      <c r="M97" s="17" t="s">
        <v>131</v>
      </c>
      <c r="N97" s="17" t="s">
        <v>109</v>
      </c>
    </row>
    <row r="98" customFormat="false" ht="15" hidden="false" customHeight="false" outlineLevel="0" collapsed="false">
      <c r="A98" s="4" t="n">
        <v>364</v>
      </c>
      <c r="B98" s="15" t="n">
        <v>46240</v>
      </c>
      <c r="C98" s="4" t="s">
        <v>25</v>
      </c>
      <c r="D98" s="4" t="s">
        <v>117</v>
      </c>
      <c r="E98" s="17" t="s">
        <v>118</v>
      </c>
      <c r="F98" s="4" t="s">
        <v>112</v>
      </c>
      <c r="G98" s="11" t="n">
        <v>40</v>
      </c>
      <c r="H98" s="4" t="s">
        <v>119</v>
      </c>
      <c r="I98" s="11"/>
      <c r="J98" s="11" t="str">
        <f aca="false">IF(AND(ISNUMBER(G98),ISNUMBER(I98)),I98-G98,"")</f>
        <v/>
      </c>
      <c r="K98" s="10" t="n">
        <f aca="false">IF(H98="Réalisé",1,IF(H98="Partiel",0.5,IF(H98="Prévu","",0)))</f>
        <v>0</v>
      </c>
      <c r="L98" s="17"/>
      <c r="M98" s="17" t="s">
        <v>116</v>
      </c>
      <c r="N98" s="17"/>
    </row>
    <row r="99" customFormat="false" ht="15" hidden="false" customHeight="false" outlineLevel="0" collapsed="false">
      <c r="A99" s="4" t="n">
        <v>365</v>
      </c>
      <c r="B99" s="15" t="n">
        <v>46240</v>
      </c>
      <c r="C99" s="4" t="s">
        <v>25</v>
      </c>
      <c r="D99" s="4" t="s">
        <v>147</v>
      </c>
      <c r="E99" s="17" t="s">
        <v>148</v>
      </c>
      <c r="F99" s="4" t="s">
        <v>106</v>
      </c>
      <c r="G99" s="11" t="n">
        <v>30</v>
      </c>
      <c r="H99" s="4" t="s">
        <v>119</v>
      </c>
      <c r="I99" s="11"/>
      <c r="J99" s="11" t="str">
        <f aca="false">IF(AND(ISNUMBER(G99),ISNUMBER(I99)),I99-G99,"")</f>
        <v/>
      </c>
      <c r="K99" s="10" t="n">
        <f aca="false">IF(H99="Réalisé",1,IF(H99="Partiel",0.5,IF(H99="Prévu","",0)))</f>
        <v>0</v>
      </c>
      <c r="L99" s="17"/>
      <c r="M99" s="17" t="s">
        <v>150</v>
      </c>
      <c r="N99" s="17" t="s">
        <v>149</v>
      </c>
    </row>
    <row r="100" customFormat="false" ht="15" hidden="false" customHeight="false" outlineLevel="0" collapsed="false">
      <c r="A100" s="4" t="n">
        <v>366</v>
      </c>
      <c r="B100" s="15" t="n">
        <v>46240</v>
      </c>
      <c r="C100" s="4" t="s">
        <v>26</v>
      </c>
      <c r="D100" s="4" t="s">
        <v>142</v>
      </c>
      <c r="E100" s="17" t="s">
        <v>143</v>
      </c>
      <c r="F100" s="4" t="s">
        <v>106</v>
      </c>
      <c r="G100" s="11" t="n">
        <v>45</v>
      </c>
      <c r="H100" s="4" t="s">
        <v>119</v>
      </c>
      <c r="I100" s="11"/>
      <c r="J100" s="11" t="str">
        <f aca="false">IF(AND(ISNUMBER(G100),ISNUMBER(I100)),I100-G100,"")</f>
        <v/>
      </c>
      <c r="K100" s="10" t="n">
        <f aca="false">IF(H100="Réalisé",1,IF(H100="Partiel",0.5,IF(H100="Prévu","",0)))</f>
        <v>0</v>
      </c>
      <c r="L100" s="17"/>
      <c r="M100" s="17" t="s">
        <v>108</v>
      </c>
      <c r="N100" s="17"/>
    </row>
    <row r="101" customFormat="false" ht="15" hidden="false" customHeight="false" outlineLevel="0" collapsed="false">
      <c r="A101" s="4" t="n">
        <v>367</v>
      </c>
      <c r="B101" s="15" t="n">
        <v>46240</v>
      </c>
      <c r="C101" s="4" t="s">
        <v>24</v>
      </c>
      <c r="D101" s="4" t="s">
        <v>126</v>
      </c>
      <c r="E101" s="17" t="s">
        <v>127</v>
      </c>
      <c r="F101" s="4" t="s">
        <v>112</v>
      </c>
      <c r="G101" s="11" t="n">
        <v>20</v>
      </c>
      <c r="H101" s="4" t="s">
        <v>113</v>
      </c>
      <c r="I101" s="11" t="n">
        <v>21</v>
      </c>
      <c r="J101" s="11" t="n">
        <f aca="false">IF(AND(ISNUMBER(G101),ISNUMBER(I101)),I101-G101,"")</f>
        <v>1</v>
      </c>
      <c r="K101" s="10" t="n">
        <f aca="false">IF(H101="Réalisé",1,IF(H101="Partiel",0.5,IF(H101="Prévu","",0)))</f>
        <v>1</v>
      </c>
      <c r="L101" s="17"/>
      <c r="M101" s="17"/>
      <c r="N101" s="17" t="s">
        <v>128</v>
      </c>
    </row>
    <row r="102" customFormat="false" ht="15" hidden="false" customHeight="false" outlineLevel="0" collapsed="false">
      <c r="A102" s="4" t="n">
        <v>368</v>
      </c>
      <c r="B102" s="15" t="n">
        <v>46240</v>
      </c>
      <c r="C102" s="4" t="s">
        <v>30</v>
      </c>
      <c r="D102" s="4" t="s">
        <v>120</v>
      </c>
      <c r="E102" s="17" t="s">
        <v>121</v>
      </c>
      <c r="F102" s="4" t="s">
        <v>122</v>
      </c>
      <c r="G102" s="11" t="n">
        <v>30</v>
      </c>
      <c r="H102" s="4" t="s">
        <v>119</v>
      </c>
      <c r="I102" s="11"/>
      <c r="J102" s="11" t="str">
        <f aca="false">IF(AND(ISNUMBER(G102),ISNUMBER(I102)),I102-G102,"")</f>
        <v/>
      </c>
      <c r="K102" s="10" t="n">
        <f aca="false">IF(H102="Réalisé",1,IF(H102="Partiel",0.5,IF(H102="Prévu","",0)))</f>
        <v>0</v>
      </c>
      <c r="L102" s="17"/>
      <c r="M102" s="17" t="s">
        <v>108</v>
      </c>
      <c r="N102" s="17"/>
    </row>
    <row r="103" customFormat="false" ht="15" hidden="false" customHeight="false" outlineLevel="0" collapsed="false">
      <c r="A103" s="4" t="n">
        <v>369</v>
      </c>
      <c r="B103" s="15" t="n">
        <v>46241</v>
      </c>
      <c r="C103" s="4" t="s">
        <v>24</v>
      </c>
      <c r="D103" s="4" t="s">
        <v>132</v>
      </c>
      <c r="E103" s="17" t="s">
        <v>133</v>
      </c>
      <c r="F103" s="4" t="s">
        <v>106</v>
      </c>
      <c r="G103" s="11" t="n">
        <v>15</v>
      </c>
      <c r="H103" s="4" t="s">
        <v>113</v>
      </c>
      <c r="I103" s="11" t="n">
        <v>21</v>
      </c>
      <c r="J103" s="11" t="n">
        <f aca="false">IF(AND(ISNUMBER(G103),ISNUMBER(I103)),I103-G103,"")</f>
        <v>6</v>
      </c>
      <c r="K103" s="10" t="n">
        <f aca="false">IF(H103="Réalisé",1,IF(H103="Partiel",0.5,IF(H103="Prévu","",0)))</f>
        <v>1</v>
      </c>
      <c r="L103" s="17"/>
      <c r="M103" s="17"/>
      <c r="N103" s="17"/>
    </row>
    <row r="104" customFormat="false" ht="15" hidden="false" customHeight="false" outlineLevel="0" collapsed="false">
      <c r="A104" s="4" t="n">
        <v>370</v>
      </c>
      <c r="B104" s="15" t="n">
        <v>46241</v>
      </c>
      <c r="C104" s="4" t="s">
        <v>28</v>
      </c>
      <c r="D104" s="4" t="s">
        <v>114</v>
      </c>
      <c r="E104" s="17" t="s">
        <v>115</v>
      </c>
      <c r="F104" s="4" t="s">
        <v>106</v>
      </c>
      <c r="G104" s="11" t="n">
        <v>30</v>
      </c>
      <c r="H104" s="4" t="s">
        <v>113</v>
      </c>
      <c r="I104" s="11" t="n">
        <v>26</v>
      </c>
      <c r="J104" s="11" t="n">
        <f aca="false">IF(AND(ISNUMBER(G104),ISNUMBER(I104)),I104-G104,"")</f>
        <v>-4</v>
      </c>
      <c r="K104" s="10" t="n">
        <f aca="false">IF(H104="Réalisé",1,IF(H104="Partiel",0.5,IF(H104="Prévu","",0)))</f>
        <v>1</v>
      </c>
      <c r="L104" s="17"/>
      <c r="M104" s="17"/>
      <c r="N104" s="17"/>
    </row>
    <row r="105" customFormat="false" ht="15" hidden="false" customHeight="false" outlineLevel="0" collapsed="false">
      <c r="A105" s="4" t="n">
        <v>371</v>
      </c>
      <c r="B105" s="15" t="n">
        <v>46241</v>
      </c>
      <c r="C105" s="4" t="s">
        <v>26</v>
      </c>
      <c r="D105" s="4" t="s">
        <v>140</v>
      </c>
      <c r="E105" s="17" t="s">
        <v>141</v>
      </c>
      <c r="F105" s="4" t="s">
        <v>106</v>
      </c>
      <c r="G105" s="11" t="n">
        <v>60</v>
      </c>
      <c r="H105" s="4" t="s">
        <v>113</v>
      </c>
      <c r="I105" s="11" t="n">
        <v>48</v>
      </c>
      <c r="J105" s="11" t="n">
        <f aca="false">IF(AND(ISNUMBER(G105),ISNUMBER(I105)),I105-G105,"")</f>
        <v>-12</v>
      </c>
      <c r="K105" s="10" t="n">
        <f aca="false">IF(H105="Réalisé",1,IF(H105="Partiel",0.5,IF(H105="Prévu","",0)))</f>
        <v>1</v>
      </c>
      <c r="L105" s="17"/>
      <c r="M105" s="17"/>
      <c r="N105" s="17"/>
    </row>
    <row r="106" customFormat="false" ht="15" hidden="false" customHeight="false" outlineLevel="0" collapsed="false">
      <c r="A106" s="4" t="n">
        <v>372</v>
      </c>
      <c r="B106" s="15" t="n">
        <v>46241</v>
      </c>
      <c r="C106" s="4" t="s">
        <v>25</v>
      </c>
      <c r="D106" s="4" t="s">
        <v>117</v>
      </c>
      <c r="E106" s="17" t="s">
        <v>118</v>
      </c>
      <c r="F106" s="4" t="s">
        <v>112</v>
      </c>
      <c r="G106" s="11" t="n">
        <v>40</v>
      </c>
      <c r="H106" s="4" t="s">
        <v>119</v>
      </c>
      <c r="I106" s="11"/>
      <c r="J106" s="11" t="str">
        <f aca="false">IF(AND(ISNUMBER(G106),ISNUMBER(I106)),I106-G106,"")</f>
        <v/>
      </c>
      <c r="K106" s="10" t="n">
        <f aca="false">IF(H106="Réalisé",1,IF(H106="Partiel",0.5,IF(H106="Prévu","",0)))</f>
        <v>0</v>
      </c>
      <c r="L106" s="17"/>
      <c r="M106" s="17" t="s">
        <v>152</v>
      </c>
      <c r="N106" s="17"/>
    </row>
    <row r="107" customFormat="false" ht="15" hidden="false" customHeight="false" outlineLevel="0" collapsed="false">
      <c r="A107" s="4" t="n">
        <v>373</v>
      </c>
      <c r="B107" s="15" t="n">
        <v>46242</v>
      </c>
      <c r="C107" s="4" t="s">
        <v>25</v>
      </c>
      <c r="D107" s="4" t="s">
        <v>147</v>
      </c>
      <c r="E107" s="17" t="s">
        <v>148</v>
      </c>
      <c r="F107" s="4" t="s">
        <v>106</v>
      </c>
      <c r="G107" s="11" t="n">
        <v>30</v>
      </c>
      <c r="H107" s="4" t="s">
        <v>113</v>
      </c>
      <c r="I107" s="11" t="n">
        <v>28</v>
      </c>
      <c r="J107" s="11" t="n">
        <f aca="false">IF(AND(ISNUMBER(G107),ISNUMBER(I107)),I107-G107,"")</f>
        <v>-2</v>
      </c>
      <c r="K107" s="10" t="n">
        <f aca="false">IF(H107="Réalisé",1,IF(H107="Partiel",0.5,IF(H107="Prévu","",0)))</f>
        <v>1</v>
      </c>
      <c r="L107" s="17"/>
      <c r="M107" s="17"/>
      <c r="N107" s="17" t="s">
        <v>149</v>
      </c>
    </row>
    <row r="108" customFormat="false" ht="15" hidden="false" customHeight="false" outlineLevel="0" collapsed="false">
      <c r="A108" s="4" t="n">
        <v>374</v>
      </c>
      <c r="B108" s="15" t="n">
        <v>46242</v>
      </c>
      <c r="C108" s="4" t="s">
        <v>29</v>
      </c>
      <c r="D108" s="4" t="s">
        <v>124</v>
      </c>
      <c r="E108" s="17" t="s">
        <v>125</v>
      </c>
      <c r="F108" s="4" t="s">
        <v>112</v>
      </c>
      <c r="G108" s="11" t="n">
        <v>20</v>
      </c>
      <c r="H108" s="4" t="s">
        <v>113</v>
      </c>
      <c r="I108" s="11" t="n">
        <v>22</v>
      </c>
      <c r="J108" s="11" t="n">
        <f aca="false">IF(AND(ISNUMBER(G108),ISNUMBER(I108)),I108-G108,"")</f>
        <v>2</v>
      </c>
      <c r="K108" s="10" t="n">
        <f aca="false">IF(H108="Réalisé",1,IF(H108="Partiel",0.5,IF(H108="Prévu","",0)))</f>
        <v>1</v>
      </c>
      <c r="L108" s="17"/>
      <c r="M108" s="17"/>
      <c r="N108" s="17"/>
    </row>
    <row r="109" customFormat="false" ht="15" hidden="false" customHeight="false" outlineLevel="0" collapsed="false">
      <c r="A109" s="4" t="n">
        <v>375</v>
      </c>
      <c r="B109" s="15" t="n">
        <v>46243</v>
      </c>
      <c r="C109" s="4" t="s">
        <v>25</v>
      </c>
      <c r="D109" s="4" t="s">
        <v>147</v>
      </c>
      <c r="E109" s="17" t="s">
        <v>148</v>
      </c>
      <c r="F109" s="4" t="s">
        <v>122</v>
      </c>
      <c r="G109" s="11" t="n">
        <v>30</v>
      </c>
      <c r="H109" s="4" t="s">
        <v>119</v>
      </c>
      <c r="I109" s="11"/>
      <c r="J109" s="11" t="str">
        <f aca="false">IF(AND(ISNUMBER(G109),ISNUMBER(I109)),I109-G109,"")</f>
        <v/>
      </c>
      <c r="K109" s="10" t="n">
        <f aca="false">IF(H109="Réalisé",1,IF(H109="Partiel",0.5,IF(H109="Prévu","",0)))</f>
        <v>0</v>
      </c>
      <c r="L109" s="17"/>
      <c r="M109" s="17" t="s">
        <v>150</v>
      </c>
      <c r="N109" s="17" t="s">
        <v>149</v>
      </c>
    </row>
    <row r="110" customFormat="false" ht="15" hidden="false" customHeight="false" outlineLevel="0" collapsed="false">
      <c r="A110" s="4" t="n">
        <v>376</v>
      </c>
      <c r="B110" s="15" t="n">
        <v>46243</v>
      </c>
      <c r="C110" s="4" t="s">
        <v>27</v>
      </c>
      <c r="D110" s="4" t="s">
        <v>129</v>
      </c>
      <c r="E110" s="17" t="s">
        <v>130</v>
      </c>
      <c r="F110" s="4" t="s">
        <v>122</v>
      </c>
      <c r="G110" s="11" t="n">
        <v>60</v>
      </c>
      <c r="H110" s="4" t="s">
        <v>113</v>
      </c>
      <c r="I110" s="11" t="n">
        <v>69</v>
      </c>
      <c r="J110" s="11" t="n">
        <f aca="false">IF(AND(ISNUMBER(G110),ISNUMBER(I110)),I110-G110,"")</f>
        <v>9</v>
      </c>
      <c r="K110" s="10" t="n">
        <f aca="false">IF(H110="Réalisé",1,IF(H110="Partiel",0.5,IF(H110="Prévu","",0)))</f>
        <v>1</v>
      </c>
      <c r="L110" s="17"/>
      <c r="M110" s="17"/>
      <c r="N110" s="17"/>
    </row>
    <row r="111" customFormat="false" ht="15" hidden="false" customHeight="false" outlineLevel="0" collapsed="false">
      <c r="A111" s="4" t="n">
        <v>377</v>
      </c>
      <c r="B111" s="15" t="n">
        <v>46243</v>
      </c>
      <c r="C111" s="4" t="s">
        <v>26</v>
      </c>
      <c r="D111" s="4" t="s">
        <v>142</v>
      </c>
      <c r="E111" s="17" t="s">
        <v>143</v>
      </c>
      <c r="F111" s="4" t="s">
        <v>106</v>
      </c>
      <c r="G111" s="11" t="n">
        <v>45</v>
      </c>
      <c r="H111" s="4" t="s">
        <v>123</v>
      </c>
      <c r="I111" s="11"/>
      <c r="J111" s="11" t="str">
        <f aca="false">IF(AND(ISNUMBER(G111),ISNUMBER(I111)),I111-G111,"")</f>
        <v/>
      </c>
      <c r="K111" s="10" t="n">
        <f aca="false">IF(H111="Réalisé",1,IF(H111="Partiel",0.5,IF(H111="Prévu","",0)))</f>
        <v>0</v>
      </c>
      <c r="L111" s="17"/>
      <c r="M111" s="17" t="s">
        <v>108</v>
      </c>
      <c r="N111" s="17"/>
    </row>
    <row r="112" customFormat="false" ht="23.85" hidden="false" customHeight="false" outlineLevel="0" collapsed="false">
      <c r="A112" s="4" t="n">
        <v>378</v>
      </c>
      <c r="B112" s="15" t="n">
        <v>46243</v>
      </c>
      <c r="C112" s="4" t="s">
        <v>26</v>
      </c>
      <c r="D112" s="4" t="s">
        <v>110</v>
      </c>
      <c r="E112" s="17" t="s">
        <v>111</v>
      </c>
      <c r="F112" s="4" t="s">
        <v>112</v>
      </c>
      <c r="G112" s="11" t="n">
        <v>60</v>
      </c>
      <c r="H112" s="4" t="s">
        <v>113</v>
      </c>
      <c r="I112" s="11" t="n">
        <v>87</v>
      </c>
      <c r="J112" s="11" t="n">
        <f aca="false">IF(AND(ISNUMBER(G112),ISNUMBER(I112)),I112-G112,"")</f>
        <v>27</v>
      </c>
      <c r="K112" s="10" t="n">
        <f aca="false">IF(H112="Réalisé",1,IF(H112="Partiel",0.5,IF(H112="Prévu","",0)))</f>
        <v>1</v>
      </c>
      <c r="L112" s="17"/>
      <c r="M112" s="17"/>
      <c r="N112" s="17" t="s">
        <v>109</v>
      </c>
    </row>
    <row r="113" customFormat="false" ht="15" hidden="false" customHeight="false" outlineLevel="0" collapsed="false">
      <c r="A113" s="4" t="n">
        <v>379</v>
      </c>
      <c r="B113" s="15" t="n">
        <v>46243</v>
      </c>
      <c r="C113" s="4" t="s">
        <v>24</v>
      </c>
      <c r="D113" s="4" t="s">
        <v>126</v>
      </c>
      <c r="E113" s="17" t="s">
        <v>127</v>
      </c>
      <c r="F113" s="4" t="s">
        <v>106</v>
      </c>
      <c r="G113" s="11" t="n">
        <v>20</v>
      </c>
      <c r="H113" s="4" t="s">
        <v>119</v>
      </c>
      <c r="I113" s="11"/>
      <c r="J113" s="11" t="str">
        <f aca="false">IF(AND(ISNUMBER(G113),ISNUMBER(I113)),I113-G113,"")</f>
        <v/>
      </c>
      <c r="K113" s="10" t="n">
        <f aca="false">IF(H113="Réalisé",1,IF(H113="Partiel",0.5,IF(H113="Prévu","",0)))</f>
        <v>0</v>
      </c>
      <c r="L113" s="17"/>
      <c r="M113" s="17" t="s">
        <v>116</v>
      </c>
      <c r="N113" s="17" t="s">
        <v>128</v>
      </c>
    </row>
    <row r="114" customFormat="false" ht="15" hidden="false" customHeight="false" outlineLevel="0" collapsed="false">
      <c r="A114" s="4" t="n">
        <v>380</v>
      </c>
      <c r="B114" s="15" t="n">
        <v>46243</v>
      </c>
      <c r="C114" s="4" t="s">
        <v>28</v>
      </c>
      <c r="D114" s="4" t="s">
        <v>114</v>
      </c>
      <c r="E114" s="17" t="s">
        <v>115</v>
      </c>
      <c r="F114" s="4" t="s">
        <v>106</v>
      </c>
      <c r="G114" s="11" t="n">
        <v>30</v>
      </c>
      <c r="H114" s="4" t="s">
        <v>107</v>
      </c>
      <c r="I114" s="11"/>
      <c r="J114" s="11" t="str">
        <f aca="false">IF(AND(ISNUMBER(G114),ISNUMBER(I114)),I114-G114,"")</f>
        <v/>
      </c>
      <c r="K114" s="10" t="n">
        <f aca="false">IF(H114="Réalisé",1,IF(H114="Partiel",0.5,IF(H114="Prévu","",0)))</f>
        <v>0</v>
      </c>
      <c r="L114" s="17"/>
      <c r="M114" s="17" t="s">
        <v>137</v>
      </c>
      <c r="N114" s="17"/>
    </row>
    <row r="115" customFormat="false" ht="15" hidden="false" customHeight="false" outlineLevel="0" collapsed="false">
      <c r="A115" s="4" t="n">
        <v>381</v>
      </c>
      <c r="B115" s="15" t="n">
        <v>46244</v>
      </c>
      <c r="C115" s="4" t="s">
        <v>24</v>
      </c>
      <c r="D115" s="4" t="s">
        <v>132</v>
      </c>
      <c r="E115" s="17" t="s">
        <v>133</v>
      </c>
      <c r="F115" s="4" t="s">
        <v>112</v>
      </c>
      <c r="G115" s="11" t="n">
        <v>15</v>
      </c>
      <c r="H115" s="4" t="s">
        <v>113</v>
      </c>
      <c r="I115" s="11" t="n">
        <v>18</v>
      </c>
      <c r="J115" s="11" t="n">
        <f aca="false">IF(AND(ISNUMBER(G115),ISNUMBER(I115)),I115-G115,"")</f>
        <v>3</v>
      </c>
      <c r="K115" s="10" t="n">
        <f aca="false">IF(H115="Réalisé",1,IF(H115="Partiel",0.5,IF(H115="Prévu","",0)))</f>
        <v>1</v>
      </c>
      <c r="L115" s="17"/>
      <c r="M115" s="17"/>
      <c r="N115" s="17"/>
    </row>
    <row r="116" customFormat="false" ht="15" hidden="false" customHeight="false" outlineLevel="0" collapsed="false">
      <c r="A116" s="4" t="n">
        <v>382</v>
      </c>
      <c r="B116" s="15" t="n">
        <v>46244</v>
      </c>
      <c r="C116" s="4" t="s">
        <v>26</v>
      </c>
      <c r="D116" s="4" t="s">
        <v>140</v>
      </c>
      <c r="E116" s="17" t="s">
        <v>141</v>
      </c>
      <c r="F116" s="4" t="s">
        <v>106</v>
      </c>
      <c r="G116" s="11" t="n">
        <v>60</v>
      </c>
      <c r="H116" s="4" t="s">
        <v>107</v>
      </c>
      <c r="I116" s="11"/>
      <c r="J116" s="11" t="str">
        <f aca="false">IF(AND(ISNUMBER(G116),ISNUMBER(I116)),I116-G116,"")</f>
        <v/>
      </c>
      <c r="K116" s="10" t="n">
        <f aca="false">IF(H116="Réalisé",1,IF(H116="Partiel",0.5,IF(H116="Prévu","",0)))</f>
        <v>0</v>
      </c>
      <c r="L116" s="17"/>
      <c r="M116" s="17" t="s">
        <v>152</v>
      </c>
      <c r="N116" s="17"/>
    </row>
    <row r="117" customFormat="false" ht="15" hidden="false" customHeight="false" outlineLevel="0" collapsed="false">
      <c r="A117" s="4" t="n">
        <v>383</v>
      </c>
      <c r="B117" s="15" t="n">
        <v>46244</v>
      </c>
      <c r="C117" s="4" t="s">
        <v>29</v>
      </c>
      <c r="D117" s="4" t="s">
        <v>124</v>
      </c>
      <c r="E117" s="17" t="s">
        <v>125</v>
      </c>
      <c r="F117" s="4" t="s">
        <v>112</v>
      </c>
      <c r="G117" s="11" t="n">
        <v>20</v>
      </c>
      <c r="H117" s="4" t="s">
        <v>107</v>
      </c>
      <c r="I117" s="11"/>
      <c r="J117" s="11" t="str">
        <f aca="false">IF(AND(ISNUMBER(G117),ISNUMBER(I117)),I117-G117,"")</f>
        <v/>
      </c>
      <c r="K117" s="10" t="n">
        <f aca="false">IF(H117="Réalisé",1,IF(H117="Partiel",0.5,IF(H117="Prévu","",0)))</f>
        <v>0</v>
      </c>
      <c r="L117" s="17"/>
      <c r="M117" s="17" t="s">
        <v>116</v>
      </c>
      <c r="N117" s="17"/>
    </row>
    <row r="118" customFormat="false" ht="15" hidden="false" customHeight="false" outlineLevel="0" collapsed="false">
      <c r="A118" s="4" t="n">
        <v>384</v>
      </c>
      <c r="B118" s="15" t="n">
        <v>46244</v>
      </c>
      <c r="C118" s="4" t="s">
        <v>24</v>
      </c>
      <c r="D118" s="4" t="s">
        <v>126</v>
      </c>
      <c r="E118" s="17" t="s">
        <v>127</v>
      </c>
      <c r="F118" s="4" t="s">
        <v>122</v>
      </c>
      <c r="G118" s="11" t="n">
        <v>20</v>
      </c>
      <c r="H118" s="4" t="s">
        <v>123</v>
      </c>
      <c r="I118" s="11"/>
      <c r="J118" s="11" t="str">
        <f aca="false">IF(AND(ISNUMBER(G118),ISNUMBER(I118)),I118-G118,"")</f>
        <v/>
      </c>
      <c r="K118" s="10" t="n">
        <f aca="false">IF(H118="Réalisé",1,IF(H118="Partiel",0.5,IF(H118="Prévu","",0)))</f>
        <v>0</v>
      </c>
      <c r="L118" s="17"/>
      <c r="M118" s="17" t="s">
        <v>116</v>
      </c>
      <c r="N118" s="17" t="s">
        <v>128</v>
      </c>
    </row>
    <row r="119" customFormat="false" ht="23.85" hidden="false" customHeight="false" outlineLevel="0" collapsed="false">
      <c r="A119" s="4" t="n">
        <v>385</v>
      </c>
      <c r="B119" s="15" t="n">
        <v>46244</v>
      </c>
      <c r="C119" s="4" t="s">
        <v>26</v>
      </c>
      <c r="D119" s="4" t="s">
        <v>110</v>
      </c>
      <c r="E119" s="17" t="s">
        <v>111</v>
      </c>
      <c r="F119" s="4" t="s">
        <v>112</v>
      </c>
      <c r="G119" s="11" t="n">
        <v>60</v>
      </c>
      <c r="H119" s="4" t="s">
        <v>119</v>
      </c>
      <c r="I119" s="11"/>
      <c r="J119" s="11" t="str">
        <f aca="false">IF(AND(ISNUMBER(G119),ISNUMBER(I119)),I119-G119,"")</f>
        <v/>
      </c>
      <c r="K119" s="10" t="n">
        <f aca="false">IF(H119="Réalisé",1,IF(H119="Partiel",0.5,IF(H119="Prévu","",0)))</f>
        <v>0</v>
      </c>
      <c r="L119" s="17"/>
      <c r="M119" s="17" t="s">
        <v>116</v>
      </c>
      <c r="N119" s="17" t="s">
        <v>109</v>
      </c>
    </row>
    <row r="120" customFormat="false" ht="15" hidden="false" customHeight="false" outlineLevel="0" collapsed="false">
      <c r="A120" s="4" t="n">
        <v>386</v>
      </c>
      <c r="B120" s="15" t="n">
        <v>46245</v>
      </c>
      <c r="C120" s="4" t="s">
        <v>25</v>
      </c>
      <c r="D120" s="4" t="s">
        <v>117</v>
      </c>
      <c r="E120" s="17" t="s">
        <v>118</v>
      </c>
      <c r="F120" s="4" t="s">
        <v>122</v>
      </c>
      <c r="G120" s="11" t="n">
        <v>40</v>
      </c>
      <c r="H120" s="4" t="s">
        <v>134</v>
      </c>
      <c r="I120" s="11" t="n">
        <v>24</v>
      </c>
      <c r="J120" s="11" t="n">
        <f aca="false">IF(AND(ISNUMBER(G120),ISNUMBER(I120)),I120-G120,"")</f>
        <v>-16</v>
      </c>
      <c r="K120" s="10" t="n">
        <f aca="false">IF(H120="Réalisé",1,IF(H120="Partiel",0.5,IF(H120="Prévu","",0)))</f>
        <v>0.5</v>
      </c>
      <c r="L120" s="17"/>
      <c r="M120" s="17"/>
      <c r="N120" s="17"/>
    </row>
    <row r="121" customFormat="false" ht="15" hidden="false" customHeight="false" outlineLevel="0" collapsed="false">
      <c r="A121" s="4" t="n">
        <v>387</v>
      </c>
      <c r="B121" s="15" t="n">
        <v>46245</v>
      </c>
      <c r="C121" s="4" t="s">
        <v>26</v>
      </c>
      <c r="D121" s="4" t="s">
        <v>140</v>
      </c>
      <c r="E121" s="17" t="s">
        <v>141</v>
      </c>
      <c r="F121" s="4" t="s">
        <v>122</v>
      </c>
      <c r="G121" s="11" t="n">
        <v>60</v>
      </c>
      <c r="H121" s="4" t="s">
        <v>113</v>
      </c>
      <c r="I121" s="11" t="n">
        <v>70</v>
      </c>
      <c r="J121" s="11" t="n">
        <f aca="false">IF(AND(ISNUMBER(G121),ISNUMBER(I121)),I121-G121,"")</f>
        <v>10</v>
      </c>
      <c r="K121" s="10" t="n">
        <f aca="false">IF(H121="Réalisé",1,IF(H121="Partiel",0.5,IF(H121="Prévu","",0)))</f>
        <v>1</v>
      </c>
      <c r="L121" s="17" t="s">
        <v>144</v>
      </c>
      <c r="M121" s="17"/>
      <c r="N121" s="17"/>
    </row>
    <row r="122" customFormat="false" ht="15" hidden="false" customHeight="false" outlineLevel="0" collapsed="false">
      <c r="A122" s="4" t="n">
        <v>388</v>
      </c>
      <c r="B122" s="15" t="n">
        <v>46245</v>
      </c>
      <c r="C122" s="4" t="s">
        <v>28</v>
      </c>
      <c r="D122" s="4" t="s">
        <v>114</v>
      </c>
      <c r="E122" s="17" t="s">
        <v>115</v>
      </c>
      <c r="F122" s="4" t="s">
        <v>122</v>
      </c>
      <c r="G122" s="11" t="n">
        <v>30</v>
      </c>
      <c r="H122" s="4" t="s">
        <v>107</v>
      </c>
      <c r="I122" s="11"/>
      <c r="J122" s="11" t="str">
        <f aca="false">IF(AND(ISNUMBER(G122),ISNUMBER(I122)),I122-G122,"")</f>
        <v/>
      </c>
      <c r="K122" s="10" t="n">
        <f aca="false">IF(H122="Réalisé",1,IF(H122="Partiel",0.5,IF(H122="Prévu","",0)))</f>
        <v>0</v>
      </c>
      <c r="L122" s="17"/>
      <c r="M122" s="17" t="s">
        <v>108</v>
      </c>
      <c r="N122" s="17"/>
    </row>
    <row r="123" customFormat="false" ht="23.85" hidden="false" customHeight="false" outlineLevel="0" collapsed="false">
      <c r="A123" s="4" t="n">
        <v>389</v>
      </c>
      <c r="B123" s="15" t="n">
        <v>46245</v>
      </c>
      <c r="C123" s="4" t="s">
        <v>26</v>
      </c>
      <c r="D123" s="4" t="s">
        <v>110</v>
      </c>
      <c r="E123" s="17" t="s">
        <v>111</v>
      </c>
      <c r="F123" s="4" t="s">
        <v>106</v>
      </c>
      <c r="G123" s="11" t="n">
        <v>60</v>
      </c>
      <c r="H123" s="4" t="s">
        <v>119</v>
      </c>
      <c r="I123" s="11"/>
      <c r="J123" s="11" t="str">
        <f aca="false">IF(AND(ISNUMBER(G123),ISNUMBER(I123)),I123-G123,"")</f>
        <v/>
      </c>
      <c r="K123" s="10" t="n">
        <f aca="false">IF(H123="Réalisé",1,IF(H123="Partiel",0.5,IF(H123="Prévu","",0)))</f>
        <v>0</v>
      </c>
      <c r="L123" s="17"/>
      <c r="M123" s="17" t="s">
        <v>146</v>
      </c>
      <c r="N123" s="17" t="s">
        <v>109</v>
      </c>
    </row>
    <row r="124" customFormat="false" ht="15" hidden="false" customHeight="false" outlineLevel="0" collapsed="false">
      <c r="A124" s="4" t="n">
        <v>390</v>
      </c>
      <c r="B124" s="15" t="n">
        <v>46245</v>
      </c>
      <c r="C124" s="4" t="s">
        <v>24</v>
      </c>
      <c r="D124" s="4" t="s">
        <v>132</v>
      </c>
      <c r="E124" s="17" t="s">
        <v>133</v>
      </c>
      <c r="F124" s="4" t="s">
        <v>106</v>
      </c>
      <c r="G124" s="11" t="n">
        <v>15</v>
      </c>
      <c r="H124" s="4" t="s">
        <v>113</v>
      </c>
      <c r="I124" s="11" t="n">
        <v>18</v>
      </c>
      <c r="J124" s="11" t="n">
        <f aca="false">IF(AND(ISNUMBER(G124),ISNUMBER(I124)),I124-G124,"")</f>
        <v>3</v>
      </c>
      <c r="K124" s="10" t="n">
        <f aca="false">IF(H124="Réalisé",1,IF(H124="Partiel",0.5,IF(H124="Prévu","",0)))</f>
        <v>1</v>
      </c>
      <c r="L124" s="17"/>
      <c r="M124" s="17"/>
      <c r="N124" s="17"/>
    </row>
    <row r="125" customFormat="false" ht="23.85" hidden="false" customHeight="false" outlineLevel="0" collapsed="false">
      <c r="A125" s="4" t="n">
        <v>391</v>
      </c>
      <c r="B125" s="15" t="n">
        <v>46246</v>
      </c>
      <c r="C125" s="4" t="s">
        <v>26</v>
      </c>
      <c r="D125" s="4" t="s">
        <v>110</v>
      </c>
      <c r="E125" s="17" t="s">
        <v>111</v>
      </c>
      <c r="F125" s="4" t="s">
        <v>106</v>
      </c>
      <c r="G125" s="11" t="n">
        <v>60</v>
      </c>
      <c r="H125" s="4" t="s">
        <v>119</v>
      </c>
      <c r="I125" s="11"/>
      <c r="J125" s="11" t="str">
        <f aca="false">IF(AND(ISNUMBER(G125),ISNUMBER(I125)),I125-G125,"")</f>
        <v/>
      </c>
      <c r="K125" s="10" t="n">
        <f aca="false">IF(H125="Réalisé",1,IF(H125="Partiel",0.5,IF(H125="Prévu","",0)))</f>
        <v>0</v>
      </c>
      <c r="L125" s="17"/>
      <c r="M125" s="17" t="s">
        <v>146</v>
      </c>
      <c r="N125" s="17" t="s">
        <v>109</v>
      </c>
    </row>
    <row r="126" customFormat="false" ht="15" hidden="false" customHeight="false" outlineLevel="0" collapsed="false">
      <c r="A126" s="4" t="n">
        <v>392</v>
      </c>
      <c r="B126" s="15" t="n">
        <v>46246</v>
      </c>
      <c r="C126" s="4" t="s">
        <v>30</v>
      </c>
      <c r="D126" s="4" t="s">
        <v>120</v>
      </c>
      <c r="E126" s="17" t="s">
        <v>121</v>
      </c>
      <c r="F126" s="4" t="s">
        <v>106</v>
      </c>
      <c r="G126" s="11" t="n">
        <v>30</v>
      </c>
      <c r="H126" s="4" t="s">
        <v>123</v>
      </c>
      <c r="I126" s="11"/>
      <c r="J126" s="11" t="str">
        <f aca="false">IF(AND(ISNUMBER(G126),ISNUMBER(I126)),I126-G126,"")</f>
        <v/>
      </c>
      <c r="K126" s="10" t="n">
        <f aca="false">IF(H126="Réalisé",1,IF(H126="Partiel",0.5,IF(H126="Prévu","",0)))</f>
        <v>0</v>
      </c>
      <c r="L126" s="17"/>
      <c r="M126" s="17" t="s">
        <v>146</v>
      </c>
      <c r="N126" s="17"/>
    </row>
    <row r="127" customFormat="false" ht="15" hidden="false" customHeight="false" outlineLevel="0" collapsed="false">
      <c r="A127" s="4" t="n">
        <v>393</v>
      </c>
      <c r="B127" s="15" t="n">
        <v>46246</v>
      </c>
      <c r="C127" s="4" t="s">
        <v>27</v>
      </c>
      <c r="D127" s="4" t="s">
        <v>135</v>
      </c>
      <c r="E127" s="17" t="s">
        <v>136</v>
      </c>
      <c r="F127" s="4" t="s">
        <v>112</v>
      </c>
      <c r="G127" s="11" t="n">
        <v>45</v>
      </c>
      <c r="H127" s="4" t="s">
        <v>107</v>
      </c>
      <c r="I127" s="11"/>
      <c r="J127" s="11" t="str">
        <f aca="false">IF(AND(ISNUMBER(G127),ISNUMBER(I127)),I127-G127,"")</f>
        <v/>
      </c>
      <c r="K127" s="10" t="n">
        <f aca="false">IF(H127="Réalisé",1,IF(H127="Partiel",0.5,IF(H127="Prévu","",0)))</f>
        <v>0</v>
      </c>
      <c r="L127" s="17"/>
      <c r="M127" s="17" t="s">
        <v>108</v>
      </c>
      <c r="N127" s="17" t="s">
        <v>138</v>
      </c>
    </row>
    <row r="128" customFormat="false" ht="15" hidden="false" customHeight="false" outlineLevel="0" collapsed="false">
      <c r="A128" s="4" t="n">
        <v>394</v>
      </c>
      <c r="B128" s="15" t="n">
        <v>46246</v>
      </c>
      <c r="C128" s="4" t="s">
        <v>25</v>
      </c>
      <c r="D128" s="4" t="s">
        <v>117</v>
      </c>
      <c r="E128" s="17" t="s">
        <v>118</v>
      </c>
      <c r="F128" s="4" t="s">
        <v>122</v>
      </c>
      <c r="G128" s="11" t="n">
        <v>40</v>
      </c>
      <c r="H128" s="4" t="s">
        <v>123</v>
      </c>
      <c r="I128" s="11"/>
      <c r="J128" s="11" t="str">
        <f aca="false">IF(AND(ISNUMBER(G128),ISNUMBER(I128)),I128-G128,"")</f>
        <v/>
      </c>
      <c r="K128" s="10" t="n">
        <f aca="false">IF(H128="Réalisé",1,IF(H128="Partiel",0.5,IF(H128="Prévu","",0)))</f>
        <v>0</v>
      </c>
      <c r="L128" s="17"/>
      <c r="M128" s="17" t="s">
        <v>137</v>
      </c>
      <c r="N128" s="17"/>
    </row>
    <row r="129" customFormat="false" ht="15" hidden="false" customHeight="false" outlineLevel="0" collapsed="false">
      <c r="A129" s="4" t="n">
        <v>395</v>
      </c>
      <c r="B129" s="15" t="n">
        <v>46246</v>
      </c>
      <c r="C129" s="4" t="s">
        <v>27</v>
      </c>
      <c r="D129" s="4" t="s">
        <v>129</v>
      </c>
      <c r="E129" s="17" t="s">
        <v>130</v>
      </c>
      <c r="F129" s="4" t="s">
        <v>122</v>
      </c>
      <c r="G129" s="11" t="n">
        <v>60</v>
      </c>
      <c r="H129" s="4" t="s">
        <v>119</v>
      </c>
      <c r="I129" s="11"/>
      <c r="J129" s="11" t="str">
        <f aca="false">IF(AND(ISNUMBER(G129),ISNUMBER(I129)),I129-G129,"")</f>
        <v/>
      </c>
      <c r="K129" s="10" t="n">
        <f aca="false">IF(H129="Réalisé",1,IF(H129="Partiel",0.5,IF(H129="Prévu","",0)))</f>
        <v>0</v>
      </c>
      <c r="L129" s="17"/>
      <c r="M129" s="17" t="s">
        <v>116</v>
      </c>
      <c r="N129" s="17"/>
    </row>
    <row r="130" customFormat="false" ht="15" hidden="false" customHeight="false" outlineLevel="0" collapsed="false">
      <c r="A130" s="4" t="n">
        <v>396</v>
      </c>
      <c r="B130" s="15" t="n">
        <v>46246</v>
      </c>
      <c r="C130" s="4" t="s">
        <v>29</v>
      </c>
      <c r="D130" s="4" t="s">
        <v>124</v>
      </c>
      <c r="E130" s="17" t="s">
        <v>125</v>
      </c>
      <c r="F130" s="4" t="s">
        <v>122</v>
      </c>
      <c r="G130" s="11" t="n">
        <v>20</v>
      </c>
      <c r="H130" s="4" t="s">
        <v>113</v>
      </c>
      <c r="I130" s="11" t="n">
        <v>25</v>
      </c>
      <c r="J130" s="11" t="n">
        <f aca="false">IF(AND(ISNUMBER(G130),ISNUMBER(I130)),I130-G130,"")</f>
        <v>5</v>
      </c>
      <c r="K130" s="10" t="n">
        <f aca="false">IF(H130="Réalisé",1,IF(H130="Partiel",0.5,IF(H130="Prévu","",0)))</f>
        <v>1</v>
      </c>
      <c r="L130" s="17"/>
      <c r="M130" s="17"/>
      <c r="N130" s="17"/>
    </row>
    <row r="131" customFormat="false" ht="23.85" hidden="false" customHeight="false" outlineLevel="0" collapsed="false">
      <c r="A131" s="4" t="n">
        <v>397</v>
      </c>
      <c r="B131" s="15" t="n">
        <v>46246</v>
      </c>
      <c r="C131" s="4" t="s">
        <v>26</v>
      </c>
      <c r="D131" s="4" t="s">
        <v>104</v>
      </c>
      <c r="E131" s="17" t="s">
        <v>105</v>
      </c>
      <c r="F131" s="4" t="s">
        <v>106</v>
      </c>
      <c r="G131" s="11" t="n">
        <v>120</v>
      </c>
      <c r="H131" s="4" t="s">
        <v>123</v>
      </c>
      <c r="I131" s="11"/>
      <c r="J131" s="11" t="str">
        <f aca="false">IF(AND(ISNUMBER(G131),ISNUMBER(I131)),I131-G131,"")</f>
        <v/>
      </c>
      <c r="K131" s="10" t="n">
        <f aca="false">IF(H131="Réalisé",1,IF(H131="Partiel",0.5,IF(H131="Prévu","",0)))</f>
        <v>0</v>
      </c>
      <c r="L131" s="17"/>
      <c r="M131" s="17" t="s">
        <v>131</v>
      </c>
      <c r="N131" s="17" t="s">
        <v>109</v>
      </c>
    </row>
    <row r="132" customFormat="false" ht="15" hidden="false" customHeight="false" outlineLevel="0" collapsed="false">
      <c r="A132" s="4" t="n">
        <v>398</v>
      </c>
      <c r="B132" s="15" t="n">
        <v>46247</v>
      </c>
      <c r="C132" s="4" t="s">
        <v>30</v>
      </c>
      <c r="D132" s="4" t="s">
        <v>120</v>
      </c>
      <c r="E132" s="17" t="s">
        <v>121</v>
      </c>
      <c r="F132" s="4" t="s">
        <v>106</v>
      </c>
      <c r="G132" s="11" t="n">
        <v>30</v>
      </c>
      <c r="H132" s="4" t="s">
        <v>119</v>
      </c>
      <c r="I132" s="11"/>
      <c r="J132" s="11" t="str">
        <f aca="false">IF(AND(ISNUMBER(G132),ISNUMBER(I132)),I132-G132,"")</f>
        <v/>
      </c>
      <c r="K132" s="10" t="n">
        <f aca="false">IF(H132="Réalisé",1,IF(H132="Partiel",0.5,IF(H132="Prévu","",0)))</f>
        <v>0</v>
      </c>
      <c r="L132" s="17"/>
      <c r="M132" s="17" t="s">
        <v>116</v>
      </c>
      <c r="N132" s="17"/>
    </row>
    <row r="133" customFormat="false" ht="15" hidden="false" customHeight="false" outlineLevel="0" collapsed="false">
      <c r="A133" s="4" t="n">
        <v>399</v>
      </c>
      <c r="B133" s="15" t="n">
        <v>46247</v>
      </c>
      <c r="C133" s="4" t="s">
        <v>29</v>
      </c>
      <c r="D133" s="4" t="s">
        <v>124</v>
      </c>
      <c r="E133" s="17" t="s">
        <v>125</v>
      </c>
      <c r="F133" s="4" t="s">
        <v>106</v>
      </c>
      <c r="G133" s="11" t="n">
        <v>20</v>
      </c>
      <c r="H133" s="4" t="s">
        <v>113</v>
      </c>
      <c r="I133" s="11" t="n">
        <v>23</v>
      </c>
      <c r="J133" s="11" t="n">
        <f aca="false">IF(AND(ISNUMBER(G133),ISNUMBER(I133)),I133-G133,"")</f>
        <v>3</v>
      </c>
      <c r="K133" s="10" t="n">
        <f aca="false">IF(H133="Réalisé",1,IF(H133="Partiel",0.5,IF(H133="Prévu","",0)))</f>
        <v>1</v>
      </c>
      <c r="L133" s="17"/>
      <c r="M133" s="17"/>
      <c r="N133" s="17"/>
    </row>
    <row r="134" customFormat="false" ht="15" hidden="false" customHeight="false" outlineLevel="0" collapsed="false">
      <c r="A134" s="4" t="n">
        <v>400</v>
      </c>
      <c r="B134" s="15" t="n">
        <v>46247</v>
      </c>
      <c r="C134" s="4" t="s">
        <v>24</v>
      </c>
      <c r="D134" s="4" t="s">
        <v>126</v>
      </c>
      <c r="E134" s="17" t="s">
        <v>127</v>
      </c>
      <c r="F134" s="4" t="s">
        <v>106</v>
      </c>
      <c r="G134" s="11" t="n">
        <v>20</v>
      </c>
      <c r="H134" s="4" t="s">
        <v>113</v>
      </c>
      <c r="I134" s="11" t="n">
        <v>20</v>
      </c>
      <c r="J134" s="11" t="n">
        <f aca="false">IF(AND(ISNUMBER(G134),ISNUMBER(I134)),I134-G134,"")</f>
        <v>0</v>
      </c>
      <c r="K134" s="10" t="n">
        <f aca="false">IF(H134="Réalisé",1,IF(H134="Partiel",0.5,IF(H134="Prévu","",0)))</f>
        <v>1</v>
      </c>
      <c r="L134" s="17"/>
      <c r="M134" s="17"/>
      <c r="N134" s="17" t="s">
        <v>128</v>
      </c>
    </row>
    <row r="135" customFormat="false" ht="23.85" hidden="false" customHeight="false" outlineLevel="0" collapsed="false">
      <c r="A135" s="4" t="n">
        <v>401</v>
      </c>
      <c r="B135" s="15" t="n">
        <v>46247</v>
      </c>
      <c r="C135" s="4" t="s">
        <v>26</v>
      </c>
      <c r="D135" s="4" t="s">
        <v>110</v>
      </c>
      <c r="E135" s="17" t="s">
        <v>111</v>
      </c>
      <c r="F135" s="4" t="s">
        <v>106</v>
      </c>
      <c r="G135" s="11" t="n">
        <v>60</v>
      </c>
      <c r="H135" s="4" t="s">
        <v>134</v>
      </c>
      <c r="I135" s="11" t="n">
        <v>31</v>
      </c>
      <c r="J135" s="11" t="n">
        <f aca="false">IF(AND(ISNUMBER(G135),ISNUMBER(I135)),I135-G135,"")</f>
        <v>-29</v>
      </c>
      <c r="K135" s="10" t="n">
        <f aca="false">IF(H135="Réalisé",1,IF(H135="Partiel",0.5,IF(H135="Prévu","",0)))</f>
        <v>0.5</v>
      </c>
      <c r="L135" s="17" t="s">
        <v>144</v>
      </c>
      <c r="M135" s="17"/>
      <c r="N135" s="17" t="s">
        <v>109</v>
      </c>
    </row>
    <row r="136" customFormat="false" ht="23.85" hidden="false" customHeight="false" outlineLevel="0" collapsed="false">
      <c r="A136" s="4" t="n">
        <v>402</v>
      </c>
      <c r="B136" s="15" t="n">
        <v>46249</v>
      </c>
      <c r="C136" s="4" t="s">
        <v>26</v>
      </c>
      <c r="D136" s="4" t="s">
        <v>110</v>
      </c>
      <c r="E136" s="17" t="s">
        <v>111</v>
      </c>
      <c r="F136" s="4" t="s">
        <v>112</v>
      </c>
      <c r="G136" s="11" t="n">
        <v>60</v>
      </c>
      <c r="H136" s="4" t="s">
        <v>119</v>
      </c>
      <c r="I136" s="11"/>
      <c r="J136" s="11" t="str">
        <f aca="false">IF(AND(ISNUMBER(G136),ISNUMBER(I136)),I136-G136,"")</f>
        <v/>
      </c>
      <c r="K136" s="10" t="n">
        <f aca="false">IF(H136="Réalisé",1,IF(H136="Partiel",0.5,IF(H136="Prévu","",0)))</f>
        <v>0</v>
      </c>
      <c r="L136" s="17"/>
      <c r="M136" s="17" t="s">
        <v>150</v>
      </c>
      <c r="N136" s="17" t="s">
        <v>109</v>
      </c>
    </row>
    <row r="137" customFormat="false" ht="15" hidden="false" customHeight="false" outlineLevel="0" collapsed="false">
      <c r="A137" s="4" t="n">
        <v>403</v>
      </c>
      <c r="B137" s="15" t="n">
        <v>46249</v>
      </c>
      <c r="C137" s="4" t="s">
        <v>24</v>
      </c>
      <c r="D137" s="4" t="s">
        <v>132</v>
      </c>
      <c r="E137" s="17" t="s">
        <v>133</v>
      </c>
      <c r="F137" s="4" t="s">
        <v>122</v>
      </c>
      <c r="G137" s="11" t="n">
        <v>15</v>
      </c>
      <c r="H137" s="4" t="s">
        <v>113</v>
      </c>
      <c r="I137" s="11" t="n">
        <v>14</v>
      </c>
      <c r="J137" s="11" t="n">
        <f aca="false">IF(AND(ISNUMBER(G137),ISNUMBER(I137)),I137-G137,"")</f>
        <v>-1</v>
      </c>
      <c r="K137" s="10" t="n">
        <f aca="false">IF(H137="Réalisé",1,IF(H137="Partiel",0.5,IF(H137="Prévu","",0)))</f>
        <v>1</v>
      </c>
      <c r="L137" s="17"/>
      <c r="M137" s="17"/>
      <c r="N137" s="17"/>
    </row>
    <row r="138" customFormat="false" ht="15" hidden="false" customHeight="false" outlineLevel="0" collapsed="false">
      <c r="A138" s="4" t="n">
        <v>404</v>
      </c>
      <c r="B138" s="15" t="n">
        <v>46249</v>
      </c>
      <c r="C138" s="4" t="s">
        <v>28</v>
      </c>
      <c r="D138" s="4" t="s">
        <v>114</v>
      </c>
      <c r="E138" s="17" t="s">
        <v>115</v>
      </c>
      <c r="F138" s="4" t="s">
        <v>106</v>
      </c>
      <c r="G138" s="11" t="n">
        <v>30</v>
      </c>
      <c r="H138" s="4" t="s">
        <v>113</v>
      </c>
      <c r="I138" s="11" t="n">
        <v>26</v>
      </c>
      <c r="J138" s="11" t="n">
        <f aca="false">IF(AND(ISNUMBER(G138),ISNUMBER(I138)),I138-G138,"")</f>
        <v>-4</v>
      </c>
      <c r="K138" s="10" t="n">
        <f aca="false">IF(H138="Réalisé",1,IF(H138="Partiel",0.5,IF(H138="Prévu","",0)))</f>
        <v>1</v>
      </c>
      <c r="L138" s="17"/>
      <c r="M138" s="17"/>
      <c r="N138" s="17"/>
    </row>
    <row r="139" customFormat="false" ht="15" hidden="false" customHeight="false" outlineLevel="0" collapsed="false">
      <c r="A139" s="4" t="n">
        <v>405</v>
      </c>
      <c r="B139" s="15" t="n">
        <v>46249</v>
      </c>
      <c r="C139" s="4" t="s">
        <v>27</v>
      </c>
      <c r="D139" s="4" t="s">
        <v>135</v>
      </c>
      <c r="E139" s="17" t="s">
        <v>136</v>
      </c>
      <c r="F139" s="4" t="s">
        <v>112</v>
      </c>
      <c r="G139" s="11" t="n">
        <v>45</v>
      </c>
      <c r="H139" s="4" t="s">
        <v>113</v>
      </c>
      <c r="I139" s="11" t="n">
        <v>62</v>
      </c>
      <c r="J139" s="11" t="n">
        <f aca="false">IF(AND(ISNUMBER(G139),ISNUMBER(I139)),I139-G139,"")</f>
        <v>17</v>
      </c>
      <c r="K139" s="10" t="n">
        <f aca="false">IF(H139="Réalisé",1,IF(H139="Partiel",0.5,IF(H139="Prévu","",0)))</f>
        <v>1</v>
      </c>
      <c r="L139" s="17"/>
      <c r="M139" s="17"/>
      <c r="N139" s="17" t="s">
        <v>138</v>
      </c>
    </row>
    <row r="140" customFormat="false" ht="15" hidden="false" customHeight="false" outlineLevel="0" collapsed="false">
      <c r="A140" s="4" t="n">
        <v>406</v>
      </c>
      <c r="B140" s="15" t="n">
        <v>46249</v>
      </c>
      <c r="C140" s="4" t="s">
        <v>25</v>
      </c>
      <c r="D140" s="4" t="s">
        <v>117</v>
      </c>
      <c r="E140" s="17" t="s">
        <v>118</v>
      </c>
      <c r="F140" s="4" t="s">
        <v>106</v>
      </c>
      <c r="G140" s="11" t="n">
        <v>40</v>
      </c>
      <c r="H140" s="4" t="s">
        <v>123</v>
      </c>
      <c r="I140" s="11"/>
      <c r="J140" s="11" t="str">
        <f aca="false">IF(AND(ISNUMBER(G140),ISNUMBER(I140)),I140-G140,"")</f>
        <v/>
      </c>
      <c r="K140" s="10" t="n">
        <f aca="false">IF(H140="Réalisé",1,IF(H140="Partiel",0.5,IF(H140="Prévu","",0)))</f>
        <v>0</v>
      </c>
      <c r="L140" s="17"/>
      <c r="M140" s="17" t="s">
        <v>150</v>
      </c>
      <c r="N140" s="17"/>
    </row>
    <row r="141" customFormat="false" ht="15" hidden="false" customHeight="false" outlineLevel="0" collapsed="false">
      <c r="A141" s="4" t="n">
        <v>407</v>
      </c>
      <c r="B141" s="15" t="n">
        <v>46249</v>
      </c>
      <c r="C141" s="4" t="s">
        <v>25</v>
      </c>
      <c r="D141" s="4" t="s">
        <v>147</v>
      </c>
      <c r="E141" s="17" t="s">
        <v>148</v>
      </c>
      <c r="F141" s="4" t="s">
        <v>112</v>
      </c>
      <c r="G141" s="11" t="n">
        <v>30</v>
      </c>
      <c r="H141" s="4" t="s">
        <v>123</v>
      </c>
      <c r="I141" s="11"/>
      <c r="J141" s="11" t="str">
        <f aca="false">IF(AND(ISNUMBER(G141),ISNUMBER(I141)),I141-G141,"")</f>
        <v/>
      </c>
      <c r="K141" s="10" t="n">
        <f aca="false">IF(H141="Réalisé",1,IF(H141="Partiel",0.5,IF(H141="Prévu","",0)))</f>
        <v>0</v>
      </c>
      <c r="L141" s="17"/>
      <c r="M141" s="17" t="s">
        <v>116</v>
      </c>
      <c r="N141" s="17" t="s">
        <v>149</v>
      </c>
    </row>
    <row r="142" customFormat="false" ht="23.85" hidden="false" customHeight="false" outlineLevel="0" collapsed="false">
      <c r="A142" s="4" t="n">
        <v>408</v>
      </c>
      <c r="B142" s="15" t="n">
        <v>46249</v>
      </c>
      <c r="C142" s="4" t="s">
        <v>26</v>
      </c>
      <c r="D142" s="4" t="s">
        <v>104</v>
      </c>
      <c r="E142" s="17" t="s">
        <v>105</v>
      </c>
      <c r="F142" s="4" t="s">
        <v>106</v>
      </c>
      <c r="G142" s="11" t="n">
        <v>120</v>
      </c>
      <c r="H142" s="4" t="s">
        <v>107</v>
      </c>
      <c r="I142" s="11"/>
      <c r="J142" s="11" t="str">
        <f aca="false">IF(AND(ISNUMBER(G142),ISNUMBER(I142)),I142-G142,"")</f>
        <v/>
      </c>
      <c r="K142" s="10" t="n">
        <f aca="false">IF(H142="Réalisé",1,IF(H142="Partiel",0.5,IF(H142="Prévu","",0)))</f>
        <v>0</v>
      </c>
      <c r="L142" s="17"/>
      <c r="M142" s="17" t="s">
        <v>150</v>
      </c>
      <c r="N142" s="17" t="s">
        <v>109</v>
      </c>
    </row>
    <row r="143" customFormat="false" ht="15" hidden="false" customHeight="false" outlineLevel="0" collapsed="false">
      <c r="A143" s="4" t="n">
        <v>409</v>
      </c>
      <c r="B143" s="15" t="n">
        <v>46250</v>
      </c>
      <c r="C143" s="4" t="s">
        <v>29</v>
      </c>
      <c r="D143" s="4" t="s">
        <v>124</v>
      </c>
      <c r="E143" s="17" t="s">
        <v>125</v>
      </c>
      <c r="F143" s="4" t="s">
        <v>106</v>
      </c>
      <c r="G143" s="11" t="n">
        <v>20</v>
      </c>
      <c r="H143" s="4" t="s">
        <v>113</v>
      </c>
      <c r="I143" s="11" t="n">
        <v>21</v>
      </c>
      <c r="J143" s="11" t="n">
        <f aca="false">IF(AND(ISNUMBER(G143),ISNUMBER(I143)),I143-G143,"")</f>
        <v>1</v>
      </c>
      <c r="K143" s="10" t="n">
        <f aca="false">IF(H143="Réalisé",1,IF(H143="Partiel",0.5,IF(H143="Prévu","",0)))</f>
        <v>1</v>
      </c>
      <c r="L143" s="17"/>
      <c r="M143" s="17"/>
      <c r="N143" s="17"/>
    </row>
    <row r="144" customFormat="false" ht="15" hidden="false" customHeight="false" outlineLevel="0" collapsed="false">
      <c r="A144" s="4" t="n">
        <v>410</v>
      </c>
      <c r="B144" s="15" t="n">
        <v>46250</v>
      </c>
      <c r="C144" s="4" t="s">
        <v>24</v>
      </c>
      <c r="D144" s="4" t="s">
        <v>132</v>
      </c>
      <c r="E144" s="17" t="s">
        <v>133</v>
      </c>
      <c r="F144" s="4" t="s">
        <v>106</v>
      </c>
      <c r="G144" s="11" t="n">
        <v>15</v>
      </c>
      <c r="H144" s="4" t="s">
        <v>113</v>
      </c>
      <c r="I144" s="11" t="n">
        <v>16</v>
      </c>
      <c r="J144" s="11" t="n">
        <f aca="false">IF(AND(ISNUMBER(G144),ISNUMBER(I144)),I144-G144,"")</f>
        <v>1</v>
      </c>
      <c r="K144" s="10" t="n">
        <f aca="false">IF(H144="Réalisé",1,IF(H144="Partiel",0.5,IF(H144="Prévu","",0)))</f>
        <v>1</v>
      </c>
      <c r="L144" s="17"/>
      <c r="M144" s="17"/>
      <c r="N144" s="17"/>
    </row>
    <row r="145" customFormat="false" ht="15" hidden="false" customHeight="false" outlineLevel="0" collapsed="false">
      <c r="A145" s="4" t="n">
        <v>411</v>
      </c>
      <c r="B145" s="15" t="n">
        <v>46250</v>
      </c>
      <c r="C145" s="4" t="s">
        <v>28</v>
      </c>
      <c r="D145" s="4" t="s">
        <v>114</v>
      </c>
      <c r="E145" s="17" t="s">
        <v>115</v>
      </c>
      <c r="F145" s="4" t="s">
        <v>122</v>
      </c>
      <c r="G145" s="11" t="n">
        <v>30</v>
      </c>
      <c r="H145" s="4" t="s">
        <v>119</v>
      </c>
      <c r="I145" s="11"/>
      <c r="J145" s="11" t="str">
        <f aca="false">IF(AND(ISNUMBER(G145),ISNUMBER(I145)),I145-G145,"")</f>
        <v/>
      </c>
      <c r="K145" s="10" t="n">
        <f aca="false">IF(H145="Réalisé",1,IF(H145="Partiel",0.5,IF(H145="Prévu","",0)))</f>
        <v>0</v>
      </c>
      <c r="L145" s="17"/>
      <c r="M145" s="17" t="s">
        <v>146</v>
      </c>
      <c r="N145" s="17"/>
    </row>
    <row r="146" customFormat="false" ht="15" hidden="false" customHeight="false" outlineLevel="0" collapsed="false">
      <c r="A146" s="4" t="n">
        <v>412</v>
      </c>
      <c r="B146" s="15" t="n">
        <v>46250</v>
      </c>
      <c r="C146" s="4" t="s">
        <v>25</v>
      </c>
      <c r="D146" s="4" t="s">
        <v>147</v>
      </c>
      <c r="E146" s="17" t="s">
        <v>148</v>
      </c>
      <c r="F146" s="4" t="s">
        <v>112</v>
      </c>
      <c r="G146" s="11" t="n">
        <v>30</v>
      </c>
      <c r="H146" s="4" t="s">
        <v>119</v>
      </c>
      <c r="I146" s="11"/>
      <c r="J146" s="11" t="str">
        <f aca="false">IF(AND(ISNUMBER(G146),ISNUMBER(I146)),I146-G146,"")</f>
        <v/>
      </c>
      <c r="K146" s="10" t="n">
        <f aca="false">IF(H146="Réalisé",1,IF(H146="Partiel",0.5,IF(H146="Prévu","",0)))</f>
        <v>0</v>
      </c>
      <c r="L146" s="17"/>
      <c r="M146" s="17" t="s">
        <v>146</v>
      </c>
      <c r="N146" s="17" t="s">
        <v>149</v>
      </c>
    </row>
    <row r="147" customFormat="false" ht="23.85" hidden="false" customHeight="false" outlineLevel="0" collapsed="false">
      <c r="A147" s="4" t="n">
        <v>413</v>
      </c>
      <c r="B147" s="15" t="n">
        <v>46250</v>
      </c>
      <c r="C147" s="4" t="s">
        <v>26</v>
      </c>
      <c r="D147" s="4" t="s">
        <v>110</v>
      </c>
      <c r="E147" s="17" t="s">
        <v>111</v>
      </c>
      <c r="F147" s="4" t="s">
        <v>112</v>
      </c>
      <c r="G147" s="11" t="n">
        <v>60</v>
      </c>
      <c r="H147" s="4" t="s">
        <v>113</v>
      </c>
      <c r="I147" s="11" t="n">
        <v>75</v>
      </c>
      <c r="J147" s="11" t="n">
        <f aca="false">IF(AND(ISNUMBER(G147),ISNUMBER(I147)),I147-G147,"")</f>
        <v>15</v>
      </c>
      <c r="K147" s="10" t="n">
        <f aca="false">IF(H147="Réalisé",1,IF(H147="Partiel",0.5,IF(H147="Prévu","",0)))</f>
        <v>1</v>
      </c>
      <c r="L147" s="17"/>
      <c r="M147" s="17"/>
      <c r="N147" s="17" t="s">
        <v>109</v>
      </c>
    </row>
    <row r="148" customFormat="false" ht="15" hidden="false" customHeight="false" outlineLevel="0" collapsed="false">
      <c r="A148" s="4" t="n">
        <v>414</v>
      </c>
      <c r="B148" s="15" t="n">
        <v>46251</v>
      </c>
      <c r="C148" s="4" t="s">
        <v>24</v>
      </c>
      <c r="D148" s="4" t="s">
        <v>126</v>
      </c>
      <c r="E148" s="17" t="s">
        <v>127</v>
      </c>
      <c r="F148" s="4" t="s">
        <v>122</v>
      </c>
      <c r="G148" s="11" t="n">
        <v>20</v>
      </c>
      <c r="H148" s="4" t="s">
        <v>113</v>
      </c>
      <c r="I148" s="11" t="n">
        <v>24</v>
      </c>
      <c r="J148" s="11" t="n">
        <f aca="false">IF(AND(ISNUMBER(G148),ISNUMBER(I148)),I148-G148,"")</f>
        <v>4</v>
      </c>
      <c r="K148" s="10" t="n">
        <f aca="false">IF(H148="Réalisé",1,IF(H148="Partiel",0.5,IF(H148="Prévu","",0)))</f>
        <v>1</v>
      </c>
      <c r="L148" s="17"/>
      <c r="M148" s="17"/>
      <c r="N148" s="17" t="s">
        <v>128</v>
      </c>
    </row>
    <row r="149" customFormat="false" ht="15" hidden="false" customHeight="false" outlineLevel="0" collapsed="false">
      <c r="A149" s="4" t="n">
        <v>415</v>
      </c>
      <c r="B149" s="15" t="n">
        <v>46251</v>
      </c>
      <c r="C149" s="4" t="s">
        <v>27</v>
      </c>
      <c r="D149" s="4" t="s">
        <v>135</v>
      </c>
      <c r="E149" s="17" t="s">
        <v>136</v>
      </c>
      <c r="F149" s="4" t="s">
        <v>106</v>
      </c>
      <c r="G149" s="11" t="n">
        <v>45</v>
      </c>
      <c r="H149" s="4" t="s">
        <v>113</v>
      </c>
      <c r="I149" s="11" t="n">
        <v>58</v>
      </c>
      <c r="J149" s="11" t="n">
        <f aca="false">IF(AND(ISNUMBER(G149),ISNUMBER(I149)),I149-G149,"")</f>
        <v>13</v>
      </c>
      <c r="K149" s="10" t="n">
        <f aca="false">IF(H149="Réalisé",1,IF(H149="Partiel",0.5,IF(H149="Prévu","",0)))</f>
        <v>1</v>
      </c>
      <c r="L149" s="17"/>
      <c r="M149" s="17"/>
      <c r="N149" s="17" t="s">
        <v>138</v>
      </c>
    </row>
    <row r="150" customFormat="false" ht="15" hidden="false" customHeight="false" outlineLevel="0" collapsed="false">
      <c r="A150" s="4" t="n">
        <v>416</v>
      </c>
      <c r="B150" s="15" t="n">
        <v>46251</v>
      </c>
      <c r="C150" s="4" t="s">
        <v>30</v>
      </c>
      <c r="D150" s="4" t="s">
        <v>120</v>
      </c>
      <c r="E150" s="17" t="s">
        <v>121</v>
      </c>
      <c r="F150" s="4" t="s">
        <v>106</v>
      </c>
      <c r="G150" s="11" t="n">
        <v>30</v>
      </c>
      <c r="H150" s="4" t="s">
        <v>113</v>
      </c>
      <c r="I150" s="11" t="n">
        <v>29</v>
      </c>
      <c r="J150" s="11" t="n">
        <f aca="false">IF(AND(ISNUMBER(G150),ISNUMBER(I150)),I150-G150,"")</f>
        <v>-1</v>
      </c>
      <c r="K150" s="10" t="n">
        <f aca="false">IF(H150="Réalisé",1,IF(H150="Partiel",0.5,IF(H150="Prévu","",0)))</f>
        <v>1</v>
      </c>
      <c r="L150" s="17"/>
      <c r="M150" s="17"/>
      <c r="N150" s="17"/>
    </row>
    <row r="151" customFormat="false" ht="15" hidden="false" customHeight="false" outlineLevel="0" collapsed="false">
      <c r="A151" s="4" t="n">
        <v>417</v>
      </c>
      <c r="B151" s="15" t="n">
        <v>46251</v>
      </c>
      <c r="C151" s="4" t="s">
        <v>25</v>
      </c>
      <c r="D151" s="4" t="s">
        <v>147</v>
      </c>
      <c r="E151" s="17" t="s">
        <v>148</v>
      </c>
      <c r="F151" s="4" t="s">
        <v>112</v>
      </c>
      <c r="G151" s="11" t="n">
        <v>30</v>
      </c>
      <c r="H151" s="4" t="s">
        <v>113</v>
      </c>
      <c r="I151" s="11" t="n">
        <v>23</v>
      </c>
      <c r="J151" s="11" t="n">
        <f aca="false">IF(AND(ISNUMBER(G151),ISNUMBER(I151)),I151-G151,"")</f>
        <v>-7</v>
      </c>
      <c r="K151" s="10" t="n">
        <f aca="false">IF(H151="Réalisé",1,IF(H151="Partiel",0.5,IF(H151="Prévu","",0)))</f>
        <v>1</v>
      </c>
      <c r="L151" s="17"/>
      <c r="M151" s="17"/>
      <c r="N151" s="17" t="s">
        <v>149</v>
      </c>
    </row>
    <row r="152" customFormat="false" ht="23.85" hidden="false" customHeight="false" outlineLevel="0" collapsed="false">
      <c r="A152" s="4" t="n">
        <v>418</v>
      </c>
      <c r="B152" s="15" t="n">
        <v>46251</v>
      </c>
      <c r="C152" s="4" t="s">
        <v>26</v>
      </c>
      <c r="D152" s="4" t="s">
        <v>110</v>
      </c>
      <c r="E152" s="17" t="s">
        <v>111</v>
      </c>
      <c r="F152" s="4" t="s">
        <v>106</v>
      </c>
      <c r="G152" s="11" t="n">
        <v>60</v>
      </c>
      <c r="H152" s="4" t="s">
        <v>113</v>
      </c>
      <c r="I152" s="11" t="n">
        <v>79</v>
      </c>
      <c r="J152" s="11" t="n">
        <f aca="false">IF(AND(ISNUMBER(G152),ISNUMBER(I152)),I152-G152,"")</f>
        <v>19</v>
      </c>
      <c r="K152" s="10" t="n">
        <f aca="false">IF(H152="Réalisé",1,IF(H152="Partiel",0.5,IF(H152="Prévu","",0)))</f>
        <v>1</v>
      </c>
      <c r="L152" s="17"/>
      <c r="M152" s="17"/>
      <c r="N152" s="17" t="s">
        <v>109</v>
      </c>
    </row>
    <row r="153" customFormat="false" ht="15" hidden="false" customHeight="false" outlineLevel="0" collapsed="false">
      <c r="A153" s="4" t="n">
        <v>419</v>
      </c>
      <c r="B153" s="15" t="n">
        <v>46252</v>
      </c>
      <c r="C153" s="4" t="s">
        <v>25</v>
      </c>
      <c r="D153" s="4" t="s">
        <v>147</v>
      </c>
      <c r="E153" s="17" t="s">
        <v>148</v>
      </c>
      <c r="F153" s="4" t="s">
        <v>122</v>
      </c>
      <c r="G153" s="11" t="n">
        <v>30</v>
      </c>
      <c r="H153" s="4" t="s">
        <v>134</v>
      </c>
      <c r="I153" s="11" t="n">
        <v>15</v>
      </c>
      <c r="J153" s="11" t="n">
        <f aca="false">IF(AND(ISNUMBER(G153),ISNUMBER(I153)),I153-G153,"")</f>
        <v>-15</v>
      </c>
      <c r="K153" s="10" t="n">
        <f aca="false">IF(H153="Réalisé",1,IF(H153="Partiel",0.5,IF(H153="Prévu","",0)))</f>
        <v>0.5</v>
      </c>
      <c r="L153" s="17"/>
      <c r="M153" s="17"/>
      <c r="N153" s="17" t="s">
        <v>149</v>
      </c>
    </row>
    <row r="154" customFormat="false" ht="15" hidden="false" customHeight="false" outlineLevel="0" collapsed="false">
      <c r="A154" s="4" t="n">
        <v>420</v>
      </c>
      <c r="B154" s="15" t="n">
        <v>46252</v>
      </c>
      <c r="C154" s="4" t="s">
        <v>29</v>
      </c>
      <c r="D154" s="4" t="s">
        <v>124</v>
      </c>
      <c r="E154" s="17" t="s">
        <v>125</v>
      </c>
      <c r="F154" s="4" t="s">
        <v>112</v>
      </c>
      <c r="G154" s="11" t="n">
        <v>20</v>
      </c>
      <c r="H154" s="4" t="s">
        <v>119</v>
      </c>
      <c r="I154" s="11"/>
      <c r="J154" s="11" t="str">
        <f aca="false">IF(AND(ISNUMBER(G154),ISNUMBER(I154)),I154-G154,"")</f>
        <v/>
      </c>
      <c r="K154" s="10" t="n">
        <f aca="false">IF(H154="Réalisé",1,IF(H154="Partiel",0.5,IF(H154="Prévu","",0)))</f>
        <v>0</v>
      </c>
      <c r="L154" s="17"/>
      <c r="M154" s="17" t="s">
        <v>108</v>
      </c>
      <c r="N154" s="17"/>
    </row>
    <row r="155" customFormat="false" ht="23.85" hidden="false" customHeight="false" outlineLevel="0" collapsed="false">
      <c r="A155" s="4" t="n">
        <v>421</v>
      </c>
      <c r="B155" s="15" t="n">
        <v>46252</v>
      </c>
      <c r="C155" s="4" t="s">
        <v>26</v>
      </c>
      <c r="D155" s="4" t="s">
        <v>110</v>
      </c>
      <c r="E155" s="17" t="s">
        <v>111</v>
      </c>
      <c r="F155" s="4" t="s">
        <v>106</v>
      </c>
      <c r="G155" s="11" t="n">
        <v>60</v>
      </c>
      <c r="H155" s="4" t="s">
        <v>113</v>
      </c>
      <c r="I155" s="11" t="n">
        <v>75</v>
      </c>
      <c r="J155" s="11" t="n">
        <f aca="false">IF(AND(ISNUMBER(G155),ISNUMBER(I155)),I155-G155,"")</f>
        <v>15</v>
      </c>
      <c r="K155" s="10" t="n">
        <f aca="false">IF(H155="Réalisé",1,IF(H155="Partiel",0.5,IF(H155="Prévu","",0)))</f>
        <v>1</v>
      </c>
      <c r="L155" s="17"/>
      <c r="M155" s="17"/>
      <c r="N155" s="17" t="s">
        <v>109</v>
      </c>
    </row>
    <row r="156" customFormat="false" ht="15" hidden="false" customHeight="false" outlineLevel="0" collapsed="false">
      <c r="A156" s="4" t="n">
        <v>422</v>
      </c>
      <c r="B156" s="15" t="n">
        <v>46252</v>
      </c>
      <c r="C156" s="4" t="s">
        <v>26</v>
      </c>
      <c r="D156" s="4" t="s">
        <v>140</v>
      </c>
      <c r="E156" s="17" t="s">
        <v>141</v>
      </c>
      <c r="F156" s="4" t="s">
        <v>106</v>
      </c>
      <c r="G156" s="11" t="n">
        <v>60</v>
      </c>
      <c r="H156" s="4" t="s">
        <v>123</v>
      </c>
      <c r="I156" s="11"/>
      <c r="J156" s="11" t="str">
        <f aca="false">IF(AND(ISNUMBER(G156),ISNUMBER(I156)),I156-G156,"")</f>
        <v/>
      </c>
      <c r="K156" s="10" t="n">
        <f aca="false">IF(H156="Réalisé",1,IF(H156="Partiel",0.5,IF(H156="Prévu","",0)))</f>
        <v>0</v>
      </c>
      <c r="L156" s="17"/>
      <c r="M156" s="17" t="s">
        <v>108</v>
      </c>
      <c r="N156" s="17"/>
    </row>
    <row r="157" customFormat="false" ht="15" hidden="false" customHeight="false" outlineLevel="0" collapsed="false">
      <c r="A157" s="4" t="n">
        <v>423</v>
      </c>
      <c r="B157" s="15" t="n">
        <v>46252</v>
      </c>
      <c r="C157" s="4" t="s">
        <v>27</v>
      </c>
      <c r="D157" s="4" t="s">
        <v>129</v>
      </c>
      <c r="E157" s="17" t="s">
        <v>130</v>
      </c>
      <c r="F157" s="4" t="s">
        <v>122</v>
      </c>
      <c r="G157" s="11" t="n">
        <v>60</v>
      </c>
      <c r="H157" s="4" t="s">
        <v>119</v>
      </c>
      <c r="I157" s="11"/>
      <c r="J157" s="11" t="str">
        <f aca="false">IF(AND(ISNUMBER(G157),ISNUMBER(I157)),I157-G157,"")</f>
        <v/>
      </c>
      <c r="K157" s="10" t="n">
        <f aca="false">IF(H157="Réalisé",1,IF(H157="Partiel",0.5,IF(H157="Prévu","",0)))</f>
        <v>0</v>
      </c>
      <c r="L157" s="17"/>
      <c r="M157" s="17" t="s">
        <v>152</v>
      </c>
      <c r="N157" s="17"/>
    </row>
    <row r="158" customFormat="false" ht="15" hidden="false" customHeight="false" outlineLevel="0" collapsed="false">
      <c r="A158" s="4" t="n">
        <v>424</v>
      </c>
      <c r="B158" s="15" t="n">
        <v>46253</v>
      </c>
      <c r="C158" s="4" t="s">
        <v>26</v>
      </c>
      <c r="D158" s="4" t="s">
        <v>140</v>
      </c>
      <c r="E158" s="17" t="s">
        <v>141</v>
      </c>
      <c r="F158" s="4" t="s">
        <v>106</v>
      </c>
      <c r="G158" s="11" t="n">
        <v>60</v>
      </c>
      <c r="H158" s="4" t="s">
        <v>107</v>
      </c>
      <c r="I158" s="11"/>
      <c r="J158" s="11" t="str">
        <f aca="false">IF(AND(ISNUMBER(G158),ISNUMBER(I158)),I158-G158,"")</f>
        <v/>
      </c>
      <c r="K158" s="10" t="n">
        <f aca="false">IF(H158="Réalisé",1,IF(H158="Partiel",0.5,IF(H158="Prévu","",0)))</f>
        <v>0</v>
      </c>
      <c r="L158" s="17"/>
      <c r="M158" s="17" t="s">
        <v>152</v>
      </c>
      <c r="N158" s="17"/>
    </row>
    <row r="159" customFormat="false" ht="15" hidden="false" customHeight="false" outlineLevel="0" collapsed="false">
      <c r="A159" s="4" t="n">
        <v>425</v>
      </c>
      <c r="B159" s="15" t="n">
        <v>46253</v>
      </c>
      <c r="C159" s="4" t="s">
        <v>25</v>
      </c>
      <c r="D159" s="4" t="s">
        <v>147</v>
      </c>
      <c r="E159" s="17" t="s">
        <v>148</v>
      </c>
      <c r="F159" s="4" t="s">
        <v>112</v>
      </c>
      <c r="G159" s="11" t="n">
        <v>30</v>
      </c>
      <c r="H159" s="4" t="s">
        <v>113</v>
      </c>
      <c r="I159" s="11" t="n">
        <v>29</v>
      </c>
      <c r="J159" s="11" t="n">
        <f aca="false">IF(AND(ISNUMBER(G159),ISNUMBER(I159)),I159-G159,"")</f>
        <v>-1</v>
      </c>
      <c r="K159" s="10" t="n">
        <f aca="false">IF(H159="Réalisé",1,IF(H159="Partiel",0.5,IF(H159="Prévu","",0)))</f>
        <v>1</v>
      </c>
      <c r="L159" s="17"/>
      <c r="M159" s="17"/>
      <c r="N159" s="17" t="s">
        <v>149</v>
      </c>
    </row>
    <row r="160" customFormat="false" ht="23.85" hidden="false" customHeight="false" outlineLevel="0" collapsed="false">
      <c r="A160" s="4" t="n">
        <v>426</v>
      </c>
      <c r="B160" s="15" t="n">
        <v>46253</v>
      </c>
      <c r="C160" s="4" t="s">
        <v>26</v>
      </c>
      <c r="D160" s="4" t="s">
        <v>110</v>
      </c>
      <c r="E160" s="17" t="s">
        <v>111</v>
      </c>
      <c r="F160" s="4" t="s">
        <v>112</v>
      </c>
      <c r="G160" s="11" t="n">
        <v>60</v>
      </c>
      <c r="H160" s="4" t="s">
        <v>123</v>
      </c>
      <c r="I160" s="11"/>
      <c r="J160" s="11" t="str">
        <f aca="false">IF(AND(ISNUMBER(G160),ISNUMBER(I160)),I160-G160,"")</f>
        <v/>
      </c>
      <c r="K160" s="10" t="n">
        <f aca="false">IF(H160="Réalisé",1,IF(H160="Partiel",0.5,IF(H160="Prévu","",0)))</f>
        <v>0</v>
      </c>
      <c r="L160" s="17"/>
      <c r="M160" s="17" t="s">
        <v>150</v>
      </c>
      <c r="N160" s="17" t="s">
        <v>109</v>
      </c>
    </row>
    <row r="161" customFormat="false" ht="15" hidden="false" customHeight="false" outlineLevel="0" collapsed="false">
      <c r="A161" s="4" t="n">
        <v>427</v>
      </c>
      <c r="B161" s="15" t="n">
        <v>46254</v>
      </c>
      <c r="C161" s="4" t="s">
        <v>27</v>
      </c>
      <c r="D161" s="4" t="s">
        <v>135</v>
      </c>
      <c r="E161" s="17" t="s">
        <v>136</v>
      </c>
      <c r="F161" s="4" t="s">
        <v>106</v>
      </c>
      <c r="G161" s="11" t="n">
        <v>45</v>
      </c>
      <c r="H161" s="4" t="s">
        <v>123</v>
      </c>
      <c r="I161" s="11"/>
      <c r="J161" s="11" t="str">
        <f aca="false">IF(AND(ISNUMBER(G161),ISNUMBER(I161)),I161-G161,"")</f>
        <v/>
      </c>
      <c r="K161" s="10" t="n">
        <f aca="false">IF(H161="Réalisé",1,IF(H161="Partiel",0.5,IF(H161="Prévu","",0)))</f>
        <v>0</v>
      </c>
      <c r="L161" s="17"/>
      <c r="M161" s="17" t="s">
        <v>137</v>
      </c>
      <c r="N161" s="17" t="s">
        <v>138</v>
      </c>
    </row>
    <row r="162" customFormat="false" ht="23.85" hidden="false" customHeight="false" outlineLevel="0" collapsed="false">
      <c r="A162" s="4" t="n">
        <v>428</v>
      </c>
      <c r="B162" s="15" t="n">
        <v>46254</v>
      </c>
      <c r="C162" s="4" t="s">
        <v>26</v>
      </c>
      <c r="D162" s="4" t="s">
        <v>104</v>
      </c>
      <c r="E162" s="17" t="s">
        <v>105</v>
      </c>
      <c r="F162" s="4" t="s">
        <v>106</v>
      </c>
      <c r="G162" s="11" t="n">
        <v>120</v>
      </c>
      <c r="H162" s="4" t="s">
        <v>113</v>
      </c>
      <c r="I162" s="11" t="n">
        <v>159</v>
      </c>
      <c r="J162" s="11" t="n">
        <f aca="false">IF(AND(ISNUMBER(G162),ISNUMBER(I162)),I162-G162,"")</f>
        <v>39</v>
      </c>
      <c r="K162" s="10" t="n">
        <f aca="false">IF(H162="Réalisé",1,IF(H162="Partiel",0.5,IF(H162="Prévu","",0)))</f>
        <v>1</v>
      </c>
      <c r="L162" s="17" t="s">
        <v>139</v>
      </c>
      <c r="M162" s="17"/>
      <c r="N162" s="17" t="s">
        <v>109</v>
      </c>
    </row>
    <row r="163" customFormat="false" ht="15" hidden="false" customHeight="false" outlineLevel="0" collapsed="false">
      <c r="A163" s="4" t="n">
        <v>429</v>
      </c>
      <c r="B163" s="15" t="n">
        <v>46254</v>
      </c>
      <c r="C163" s="4" t="s">
        <v>26</v>
      </c>
      <c r="D163" s="4" t="s">
        <v>142</v>
      </c>
      <c r="E163" s="17" t="s">
        <v>143</v>
      </c>
      <c r="F163" s="4" t="s">
        <v>106</v>
      </c>
      <c r="G163" s="11" t="n">
        <v>45</v>
      </c>
      <c r="H163" s="4" t="s">
        <v>134</v>
      </c>
      <c r="I163" s="11" t="n">
        <v>40</v>
      </c>
      <c r="J163" s="11" t="n">
        <f aca="false">IF(AND(ISNUMBER(G163),ISNUMBER(I163)),I163-G163,"")</f>
        <v>-5</v>
      </c>
      <c r="K163" s="10" t="n">
        <f aca="false">IF(H163="Réalisé",1,IF(H163="Partiel",0.5,IF(H163="Prévu","",0)))</f>
        <v>0.5</v>
      </c>
      <c r="L163" s="17"/>
      <c r="M163" s="17"/>
      <c r="N163" s="17"/>
    </row>
    <row r="164" customFormat="false" ht="15" hidden="false" customHeight="false" outlineLevel="0" collapsed="false">
      <c r="A164" s="4" t="n">
        <v>430</v>
      </c>
      <c r="B164" s="15" t="n">
        <v>46255</v>
      </c>
      <c r="C164" s="4" t="s">
        <v>29</v>
      </c>
      <c r="D164" s="4" t="s">
        <v>124</v>
      </c>
      <c r="E164" s="17" t="s">
        <v>125</v>
      </c>
      <c r="F164" s="4" t="s">
        <v>106</v>
      </c>
      <c r="G164" s="11" t="n">
        <v>20</v>
      </c>
      <c r="H164" s="4" t="s">
        <v>113</v>
      </c>
      <c r="I164" s="11" t="n">
        <v>21</v>
      </c>
      <c r="J164" s="11" t="n">
        <f aca="false">IF(AND(ISNUMBER(G164),ISNUMBER(I164)),I164-G164,"")</f>
        <v>1</v>
      </c>
      <c r="K164" s="10" t="n">
        <f aca="false">IF(H164="Réalisé",1,IF(H164="Partiel",0.5,IF(H164="Prévu","",0)))</f>
        <v>1</v>
      </c>
      <c r="L164" s="17"/>
      <c r="M164" s="17"/>
      <c r="N164" s="17"/>
    </row>
    <row r="165" customFormat="false" ht="15" hidden="false" customHeight="false" outlineLevel="0" collapsed="false">
      <c r="A165" s="4" t="n">
        <v>431</v>
      </c>
      <c r="B165" s="15" t="n">
        <v>46255</v>
      </c>
      <c r="C165" s="4" t="s">
        <v>27</v>
      </c>
      <c r="D165" s="4" t="s">
        <v>135</v>
      </c>
      <c r="E165" s="17" t="s">
        <v>136</v>
      </c>
      <c r="F165" s="4" t="s">
        <v>112</v>
      </c>
      <c r="G165" s="11" t="n">
        <v>45</v>
      </c>
      <c r="H165" s="4" t="s">
        <v>123</v>
      </c>
      <c r="I165" s="11"/>
      <c r="J165" s="11" t="str">
        <f aca="false">IF(AND(ISNUMBER(G165),ISNUMBER(I165)),I165-G165,"")</f>
        <v/>
      </c>
      <c r="K165" s="10" t="n">
        <f aca="false">IF(H165="Réalisé",1,IF(H165="Partiel",0.5,IF(H165="Prévu","",0)))</f>
        <v>0</v>
      </c>
      <c r="L165" s="17"/>
      <c r="M165" s="17" t="s">
        <v>131</v>
      </c>
      <c r="N165" s="17" t="s">
        <v>138</v>
      </c>
    </row>
    <row r="166" customFormat="false" ht="15" hidden="false" customHeight="false" outlineLevel="0" collapsed="false">
      <c r="A166" s="4" t="n">
        <v>432</v>
      </c>
      <c r="B166" s="15" t="n">
        <v>46255</v>
      </c>
      <c r="C166" s="4" t="s">
        <v>24</v>
      </c>
      <c r="D166" s="4" t="s">
        <v>126</v>
      </c>
      <c r="E166" s="17" t="s">
        <v>127</v>
      </c>
      <c r="F166" s="4" t="s">
        <v>122</v>
      </c>
      <c r="G166" s="11" t="n">
        <v>20</v>
      </c>
      <c r="H166" s="4" t="s">
        <v>113</v>
      </c>
      <c r="I166" s="11" t="n">
        <v>19</v>
      </c>
      <c r="J166" s="11" t="n">
        <f aca="false">IF(AND(ISNUMBER(G166),ISNUMBER(I166)),I166-G166,"")</f>
        <v>-1</v>
      </c>
      <c r="K166" s="10" t="n">
        <f aca="false">IF(H166="Réalisé",1,IF(H166="Partiel",0.5,IF(H166="Prévu","",0)))</f>
        <v>1</v>
      </c>
      <c r="L166" s="17"/>
      <c r="M166" s="17"/>
      <c r="N166" s="17" t="s">
        <v>128</v>
      </c>
    </row>
    <row r="167" customFormat="false" ht="15" hidden="false" customHeight="false" outlineLevel="0" collapsed="false">
      <c r="A167" s="4" t="n">
        <v>433</v>
      </c>
      <c r="B167" s="15" t="n">
        <v>46256</v>
      </c>
      <c r="C167" s="4" t="s">
        <v>29</v>
      </c>
      <c r="D167" s="4" t="s">
        <v>124</v>
      </c>
      <c r="E167" s="17" t="s">
        <v>125</v>
      </c>
      <c r="F167" s="4" t="s">
        <v>112</v>
      </c>
      <c r="G167" s="11" t="n">
        <v>20</v>
      </c>
      <c r="H167" s="4" t="s">
        <v>119</v>
      </c>
      <c r="I167" s="11"/>
      <c r="J167" s="11" t="str">
        <f aca="false">IF(AND(ISNUMBER(G167),ISNUMBER(I167)),I167-G167,"")</f>
        <v/>
      </c>
      <c r="K167" s="10" t="n">
        <f aca="false">IF(H167="Réalisé",1,IF(H167="Partiel",0.5,IF(H167="Prévu","",0)))</f>
        <v>0</v>
      </c>
      <c r="L167" s="17"/>
      <c r="M167" s="17" t="s">
        <v>116</v>
      </c>
      <c r="N167" s="17"/>
    </row>
    <row r="168" customFormat="false" ht="15" hidden="false" customHeight="false" outlineLevel="0" collapsed="false">
      <c r="A168" s="4" t="n">
        <v>434</v>
      </c>
      <c r="B168" s="15" t="n">
        <v>46256</v>
      </c>
      <c r="C168" s="4" t="s">
        <v>26</v>
      </c>
      <c r="D168" s="4" t="s">
        <v>142</v>
      </c>
      <c r="E168" s="17" t="s">
        <v>143</v>
      </c>
      <c r="F168" s="4" t="s">
        <v>106</v>
      </c>
      <c r="G168" s="11" t="n">
        <v>45</v>
      </c>
      <c r="H168" s="4" t="s">
        <v>119</v>
      </c>
      <c r="I168" s="11"/>
      <c r="J168" s="11" t="str">
        <f aca="false">IF(AND(ISNUMBER(G168),ISNUMBER(I168)),I168-G168,"")</f>
        <v/>
      </c>
      <c r="K168" s="10" t="n">
        <f aca="false">IF(H168="Réalisé",1,IF(H168="Partiel",0.5,IF(H168="Prévu","",0)))</f>
        <v>0</v>
      </c>
      <c r="L168" s="17"/>
      <c r="M168" s="17" t="s">
        <v>137</v>
      </c>
      <c r="N168" s="17"/>
    </row>
    <row r="169" customFormat="false" ht="15" hidden="false" customHeight="false" outlineLevel="0" collapsed="false">
      <c r="A169" s="4" t="n">
        <v>435</v>
      </c>
      <c r="B169" s="15" t="n">
        <v>46256</v>
      </c>
      <c r="C169" s="4" t="s">
        <v>25</v>
      </c>
      <c r="D169" s="4" t="s">
        <v>147</v>
      </c>
      <c r="E169" s="17" t="s">
        <v>148</v>
      </c>
      <c r="F169" s="4" t="s">
        <v>122</v>
      </c>
      <c r="G169" s="11" t="n">
        <v>30</v>
      </c>
      <c r="H169" s="4" t="s">
        <v>123</v>
      </c>
      <c r="I169" s="11"/>
      <c r="J169" s="11" t="str">
        <f aca="false">IF(AND(ISNUMBER(G169),ISNUMBER(I169)),I169-G169,"")</f>
        <v/>
      </c>
      <c r="K169" s="10" t="n">
        <f aca="false">IF(H169="Réalisé",1,IF(H169="Partiel",0.5,IF(H169="Prévu","",0)))</f>
        <v>0</v>
      </c>
      <c r="L169" s="17"/>
      <c r="M169" s="17" t="s">
        <v>146</v>
      </c>
      <c r="N169" s="17" t="s">
        <v>149</v>
      </c>
    </row>
    <row r="170" customFormat="false" ht="15" hidden="false" customHeight="false" outlineLevel="0" collapsed="false">
      <c r="A170" s="4" t="n">
        <v>436</v>
      </c>
      <c r="B170" s="15" t="n">
        <v>46256</v>
      </c>
      <c r="C170" s="4" t="s">
        <v>27</v>
      </c>
      <c r="D170" s="4" t="s">
        <v>129</v>
      </c>
      <c r="E170" s="17" t="s">
        <v>130</v>
      </c>
      <c r="F170" s="4" t="s">
        <v>122</v>
      </c>
      <c r="G170" s="11" t="n">
        <v>60</v>
      </c>
      <c r="H170" s="4" t="s">
        <v>107</v>
      </c>
      <c r="I170" s="11"/>
      <c r="J170" s="11" t="str">
        <f aca="false">IF(AND(ISNUMBER(G170),ISNUMBER(I170)),I170-G170,"")</f>
        <v/>
      </c>
      <c r="K170" s="10" t="n">
        <f aca="false">IF(H170="Réalisé",1,IF(H170="Partiel",0.5,IF(H170="Prévu","",0)))</f>
        <v>0</v>
      </c>
      <c r="L170" s="17"/>
      <c r="M170" s="17" t="s">
        <v>150</v>
      </c>
      <c r="N170" s="17"/>
    </row>
    <row r="171" customFormat="false" ht="15" hidden="false" customHeight="false" outlineLevel="0" collapsed="false">
      <c r="A171" s="4" t="n">
        <v>437</v>
      </c>
      <c r="B171" s="15" t="n">
        <v>46256</v>
      </c>
      <c r="C171" s="4" t="s">
        <v>24</v>
      </c>
      <c r="D171" s="4" t="s">
        <v>132</v>
      </c>
      <c r="E171" s="17" t="s">
        <v>133</v>
      </c>
      <c r="F171" s="4" t="s">
        <v>106</v>
      </c>
      <c r="G171" s="11" t="n">
        <v>15</v>
      </c>
      <c r="H171" s="4" t="s">
        <v>119</v>
      </c>
      <c r="I171" s="11"/>
      <c r="J171" s="11" t="str">
        <f aca="false">IF(AND(ISNUMBER(G171),ISNUMBER(I171)),I171-G171,"")</f>
        <v/>
      </c>
      <c r="K171" s="10" t="n">
        <f aca="false">IF(H171="Réalisé",1,IF(H171="Partiel",0.5,IF(H171="Prévu","",0)))</f>
        <v>0</v>
      </c>
      <c r="L171" s="17"/>
      <c r="M171" s="17" t="s">
        <v>116</v>
      </c>
      <c r="N171" s="17"/>
    </row>
    <row r="172" customFormat="false" ht="15" hidden="false" customHeight="false" outlineLevel="0" collapsed="false">
      <c r="A172" s="4" t="n">
        <v>438</v>
      </c>
      <c r="B172" s="15" t="n">
        <v>46256</v>
      </c>
      <c r="C172" s="4" t="s">
        <v>28</v>
      </c>
      <c r="D172" s="4" t="s">
        <v>114</v>
      </c>
      <c r="E172" s="17" t="s">
        <v>115</v>
      </c>
      <c r="F172" s="4" t="s">
        <v>106</v>
      </c>
      <c r="G172" s="11" t="n">
        <v>30</v>
      </c>
      <c r="H172" s="4" t="s">
        <v>119</v>
      </c>
      <c r="I172" s="11"/>
      <c r="J172" s="11" t="str">
        <f aca="false">IF(AND(ISNUMBER(G172),ISNUMBER(I172)),I172-G172,"")</f>
        <v/>
      </c>
      <c r="K172" s="10" t="n">
        <f aca="false">IF(H172="Réalisé",1,IF(H172="Partiel",0.5,IF(H172="Prévu","",0)))</f>
        <v>0</v>
      </c>
      <c r="L172" s="17"/>
      <c r="M172" s="17" t="s">
        <v>116</v>
      </c>
      <c r="N172" s="17"/>
    </row>
    <row r="173" customFormat="false" ht="15" hidden="false" customHeight="false" outlineLevel="0" collapsed="false">
      <c r="A173" s="4" t="n">
        <v>439</v>
      </c>
      <c r="B173" s="15" t="n">
        <v>46256</v>
      </c>
      <c r="C173" s="4" t="s">
        <v>25</v>
      </c>
      <c r="D173" s="4" t="s">
        <v>117</v>
      </c>
      <c r="E173" s="17" t="s">
        <v>118</v>
      </c>
      <c r="F173" s="4" t="s">
        <v>106</v>
      </c>
      <c r="G173" s="11" t="n">
        <v>40</v>
      </c>
      <c r="H173" s="4" t="s">
        <v>107</v>
      </c>
      <c r="I173" s="11"/>
      <c r="J173" s="11" t="str">
        <f aca="false">IF(AND(ISNUMBER(G173),ISNUMBER(I173)),I173-G173,"")</f>
        <v/>
      </c>
      <c r="K173" s="10" t="n">
        <f aca="false">IF(H173="Réalisé",1,IF(H173="Partiel",0.5,IF(H173="Prévu","",0)))</f>
        <v>0</v>
      </c>
      <c r="L173" s="17"/>
      <c r="M173" s="17" t="s">
        <v>116</v>
      </c>
      <c r="N173" s="17"/>
    </row>
    <row r="174" customFormat="false" ht="15" hidden="false" customHeight="false" outlineLevel="0" collapsed="false">
      <c r="A174" s="4" t="n">
        <v>440</v>
      </c>
      <c r="B174" s="15" t="n">
        <v>46257</v>
      </c>
      <c r="C174" s="4" t="s">
        <v>29</v>
      </c>
      <c r="D174" s="4" t="s">
        <v>124</v>
      </c>
      <c r="E174" s="17" t="s">
        <v>125</v>
      </c>
      <c r="F174" s="4" t="s">
        <v>122</v>
      </c>
      <c r="G174" s="11" t="n">
        <v>20</v>
      </c>
      <c r="H174" s="4" t="s">
        <v>113</v>
      </c>
      <c r="I174" s="11" t="n">
        <v>24</v>
      </c>
      <c r="J174" s="11" t="n">
        <f aca="false">IF(AND(ISNUMBER(G174),ISNUMBER(I174)),I174-G174,"")</f>
        <v>4</v>
      </c>
      <c r="K174" s="10" t="n">
        <f aca="false">IF(H174="Réalisé",1,IF(H174="Partiel",0.5,IF(H174="Prévu","",0)))</f>
        <v>1</v>
      </c>
      <c r="L174" s="17"/>
      <c r="M174" s="17"/>
      <c r="N174" s="17"/>
    </row>
    <row r="175" customFormat="false" ht="15" hidden="false" customHeight="false" outlineLevel="0" collapsed="false">
      <c r="A175" s="4" t="n">
        <v>441</v>
      </c>
      <c r="B175" s="15" t="n">
        <v>46257</v>
      </c>
      <c r="C175" s="4" t="s">
        <v>26</v>
      </c>
      <c r="D175" s="4" t="s">
        <v>142</v>
      </c>
      <c r="E175" s="17" t="s">
        <v>143</v>
      </c>
      <c r="F175" s="4" t="s">
        <v>106</v>
      </c>
      <c r="G175" s="11" t="n">
        <v>45</v>
      </c>
      <c r="H175" s="4" t="s">
        <v>107</v>
      </c>
      <c r="I175" s="11"/>
      <c r="J175" s="11" t="str">
        <f aca="false">IF(AND(ISNUMBER(G175),ISNUMBER(I175)),I175-G175,"")</f>
        <v/>
      </c>
      <c r="K175" s="10" t="n">
        <f aca="false">IF(H175="Réalisé",1,IF(H175="Partiel",0.5,IF(H175="Prévu","",0)))</f>
        <v>0</v>
      </c>
      <c r="L175" s="17"/>
      <c r="M175" s="17" t="s">
        <v>146</v>
      </c>
      <c r="N175" s="17"/>
    </row>
    <row r="176" customFormat="false" ht="15" hidden="false" customHeight="false" outlineLevel="0" collapsed="false">
      <c r="A176" s="4" t="n">
        <v>442</v>
      </c>
      <c r="B176" s="15" t="n">
        <v>46257</v>
      </c>
      <c r="C176" s="4" t="s">
        <v>25</v>
      </c>
      <c r="D176" s="4" t="s">
        <v>117</v>
      </c>
      <c r="E176" s="17" t="s">
        <v>118</v>
      </c>
      <c r="F176" s="4" t="s">
        <v>106</v>
      </c>
      <c r="G176" s="11" t="n">
        <v>40</v>
      </c>
      <c r="H176" s="4" t="s">
        <v>119</v>
      </c>
      <c r="I176" s="11"/>
      <c r="J176" s="11" t="str">
        <f aca="false">IF(AND(ISNUMBER(G176),ISNUMBER(I176)),I176-G176,"")</f>
        <v/>
      </c>
      <c r="K176" s="10" t="n">
        <f aca="false">IF(H176="Réalisé",1,IF(H176="Partiel",0.5,IF(H176="Prévu","",0)))</f>
        <v>0</v>
      </c>
      <c r="L176" s="17"/>
      <c r="M176" s="17" t="s">
        <v>146</v>
      </c>
      <c r="N176" s="17"/>
    </row>
    <row r="177" customFormat="false" ht="23.85" hidden="false" customHeight="false" outlineLevel="0" collapsed="false">
      <c r="A177" s="4" t="n">
        <v>443</v>
      </c>
      <c r="B177" s="15" t="n">
        <v>46257</v>
      </c>
      <c r="C177" s="4" t="s">
        <v>26</v>
      </c>
      <c r="D177" s="4" t="s">
        <v>110</v>
      </c>
      <c r="E177" s="17" t="s">
        <v>111</v>
      </c>
      <c r="F177" s="4" t="s">
        <v>106</v>
      </c>
      <c r="G177" s="11" t="n">
        <v>60</v>
      </c>
      <c r="H177" s="4" t="s">
        <v>113</v>
      </c>
      <c r="I177" s="11" t="n">
        <v>81</v>
      </c>
      <c r="J177" s="11" t="n">
        <f aca="false">IF(AND(ISNUMBER(G177),ISNUMBER(I177)),I177-G177,"")</f>
        <v>21</v>
      </c>
      <c r="K177" s="10" t="n">
        <f aca="false">IF(H177="Réalisé",1,IF(H177="Partiel",0.5,IF(H177="Prévu","",0)))</f>
        <v>1</v>
      </c>
      <c r="L177" s="17"/>
      <c r="M177" s="17"/>
      <c r="N177" s="17" t="s">
        <v>109</v>
      </c>
    </row>
    <row r="178" customFormat="false" ht="15" hidden="false" customHeight="false" outlineLevel="0" collapsed="false">
      <c r="A178" s="4" t="n">
        <v>444</v>
      </c>
      <c r="B178" s="15" t="n">
        <v>46258</v>
      </c>
      <c r="C178" s="4" t="s">
        <v>30</v>
      </c>
      <c r="D178" s="4" t="s">
        <v>120</v>
      </c>
      <c r="E178" s="17" t="s">
        <v>121</v>
      </c>
      <c r="F178" s="4" t="s">
        <v>122</v>
      </c>
      <c r="G178" s="11" t="n">
        <v>30</v>
      </c>
      <c r="H178" s="4" t="s">
        <v>123</v>
      </c>
      <c r="I178" s="11"/>
      <c r="J178" s="11" t="str">
        <f aca="false">IF(AND(ISNUMBER(G178),ISNUMBER(I178)),I178-G178,"")</f>
        <v/>
      </c>
      <c r="K178" s="10" t="n">
        <f aca="false">IF(H178="Réalisé",1,IF(H178="Partiel",0.5,IF(H178="Prévu","",0)))</f>
        <v>0</v>
      </c>
      <c r="L178" s="17"/>
      <c r="M178" s="17" t="s">
        <v>146</v>
      </c>
      <c r="N178" s="17"/>
    </row>
    <row r="179" customFormat="false" ht="15" hidden="false" customHeight="false" outlineLevel="0" collapsed="false">
      <c r="A179" s="4" t="n">
        <v>445</v>
      </c>
      <c r="B179" s="15" t="n">
        <v>46258</v>
      </c>
      <c r="C179" s="4" t="s">
        <v>26</v>
      </c>
      <c r="D179" s="4" t="s">
        <v>142</v>
      </c>
      <c r="E179" s="17" t="s">
        <v>143</v>
      </c>
      <c r="F179" s="4" t="s">
        <v>112</v>
      </c>
      <c r="G179" s="11" t="n">
        <v>45</v>
      </c>
      <c r="H179" s="4" t="s">
        <v>119</v>
      </c>
      <c r="I179" s="11"/>
      <c r="J179" s="11" t="str">
        <f aca="false">IF(AND(ISNUMBER(G179),ISNUMBER(I179)),I179-G179,"")</f>
        <v/>
      </c>
      <c r="K179" s="10" t="n">
        <f aca="false">IF(H179="Réalisé",1,IF(H179="Partiel",0.5,IF(H179="Prévu","",0)))</f>
        <v>0</v>
      </c>
      <c r="L179" s="17"/>
      <c r="M179" s="17" t="s">
        <v>146</v>
      </c>
      <c r="N179" s="17"/>
    </row>
    <row r="180" customFormat="false" ht="15" hidden="false" customHeight="false" outlineLevel="0" collapsed="false">
      <c r="A180" s="4" t="n">
        <v>446</v>
      </c>
      <c r="B180" s="15" t="n">
        <v>46259</v>
      </c>
      <c r="C180" s="4" t="s">
        <v>26</v>
      </c>
      <c r="D180" s="4" t="s">
        <v>142</v>
      </c>
      <c r="E180" s="17" t="s">
        <v>143</v>
      </c>
      <c r="F180" s="4" t="s">
        <v>112</v>
      </c>
      <c r="G180" s="11" t="n">
        <v>45</v>
      </c>
      <c r="H180" s="4" t="s">
        <v>123</v>
      </c>
      <c r="I180" s="11"/>
      <c r="J180" s="11" t="str">
        <f aca="false">IF(AND(ISNUMBER(G180),ISNUMBER(I180)),I180-G180,"")</f>
        <v/>
      </c>
      <c r="K180" s="10" t="n">
        <f aca="false">IF(H180="Réalisé",1,IF(H180="Partiel",0.5,IF(H180="Prévu","",0)))</f>
        <v>0</v>
      </c>
      <c r="L180" s="17"/>
      <c r="M180" s="17" t="s">
        <v>108</v>
      </c>
      <c r="N180" s="17"/>
    </row>
    <row r="181" customFormat="false" ht="15" hidden="false" customHeight="false" outlineLevel="0" collapsed="false">
      <c r="A181" s="4" t="n">
        <v>447</v>
      </c>
      <c r="B181" s="15" t="n">
        <v>46259</v>
      </c>
      <c r="C181" s="4" t="s">
        <v>27</v>
      </c>
      <c r="D181" s="4" t="s">
        <v>129</v>
      </c>
      <c r="E181" s="17" t="s">
        <v>130</v>
      </c>
      <c r="F181" s="4" t="s">
        <v>106</v>
      </c>
      <c r="G181" s="11" t="n">
        <v>60</v>
      </c>
      <c r="H181" s="4" t="s">
        <v>113</v>
      </c>
      <c r="I181" s="11" t="n">
        <v>89</v>
      </c>
      <c r="J181" s="11" t="n">
        <f aca="false">IF(AND(ISNUMBER(G181),ISNUMBER(I181)),I181-G181,"")</f>
        <v>29</v>
      </c>
      <c r="K181" s="10" t="n">
        <f aca="false">IF(H181="Réalisé",1,IF(H181="Partiel",0.5,IF(H181="Prévu","",0)))</f>
        <v>1</v>
      </c>
      <c r="L181" s="17"/>
      <c r="M181" s="17"/>
      <c r="N181" s="17"/>
    </row>
    <row r="182" customFormat="false" ht="15" hidden="false" customHeight="false" outlineLevel="0" collapsed="false">
      <c r="A182" s="4" t="n">
        <v>448</v>
      </c>
      <c r="B182" s="15" t="n">
        <v>46259</v>
      </c>
      <c r="C182" s="4" t="s">
        <v>25</v>
      </c>
      <c r="D182" s="4" t="s">
        <v>117</v>
      </c>
      <c r="E182" s="17" t="s">
        <v>118</v>
      </c>
      <c r="F182" s="4" t="s">
        <v>122</v>
      </c>
      <c r="G182" s="11" t="n">
        <v>40</v>
      </c>
      <c r="H182" s="4" t="s">
        <v>119</v>
      </c>
      <c r="I182" s="11"/>
      <c r="J182" s="11" t="str">
        <f aca="false">IF(AND(ISNUMBER(G182),ISNUMBER(I182)),I182-G182,"")</f>
        <v/>
      </c>
      <c r="K182" s="10" t="n">
        <f aca="false">IF(H182="Réalisé",1,IF(H182="Partiel",0.5,IF(H182="Prévu","",0)))</f>
        <v>0</v>
      </c>
      <c r="L182" s="17"/>
      <c r="M182" s="17" t="s">
        <v>116</v>
      </c>
      <c r="N182" s="17"/>
    </row>
    <row r="183" customFormat="false" ht="15" hidden="false" customHeight="false" outlineLevel="0" collapsed="false">
      <c r="A183" s="4" t="n">
        <v>449</v>
      </c>
      <c r="B183" s="15" t="n">
        <v>46259</v>
      </c>
      <c r="C183" s="4" t="s">
        <v>27</v>
      </c>
      <c r="D183" s="4" t="s">
        <v>135</v>
      </c>
      <c r="E183" s="17" t="s">
        <v>136</v>
      </c>
      <c r="F183" s="4" t="s">
        <v>122</v>
      </c>
      <c r="G183" s="11" t="n">
        <v>45</v>
      </c>
      <c r="H183" s="4" t="s">
        <v>119</v>
      </c>
      <c r="I183" s="11"/>
      <c r="J183" s="11" t="str">
        <f aca="false">IF(AND(ISNUMBER(G183),ISNUMBER(I183)),I183-G183,"")</f>
        <v/>
      </c>
      <c r="K183" s="10" t="n">
        <f aca="false">IF(H183="Réalisé",1,IF(H183="Partiel",0.5,IF(H183="Prévu","",0)))</f>
        <v>0</v>
      </c>
      <c r="L183" s="17"/>
      <c r="M183" s="17" t="s">
        <v>116</v>
      </c>
      <c r="N183" s="17" t="s">
        <v>138</v>
      </c>
    </row>
    <row r="184" customFormat="false" ht="15" hidden="false" customHeight="false" outlineLevel="0" collapsed="false">
      <c r="A184" s="4" t="n">
        <v>450</v>
      </c>
      <c r="B184" s="15" t="n">
        <v>46259</v>
      </c>
      <c r="C184" s="4" t="s">
        <v>24</v>
      </c>
      <c r="D184" s="4" t="s">
        <v>126</v>
      </c>
      <c r="E184" s="17" t="s">
        <v>127</v>
      </c>
      <c r="F184" s="4" t="s">
        <v>106</v>
      </c>
      <c r="G184" s="11" t="n">
        <v>20</v>
      </c>
      <c r="H184" s="4" t="s">
        <v>123</v>
      </c>
      <c r="I184" s="11"/>
      <c r="J184" s="11" t="str">
        <f aca="false">IF(AND(ISNUMBER(G184),ISNUMBER(I184)),I184-G184,"")</f>
        <v/>
      </c>
      <c r="K184" s="10" t="n">
        <f aca="false">IF(H184="Réalisé",1,IF(H184="Partiel",0.5,IF(H184="Prévu","",0)))</f>
        <v>0</v>
      </c>
      <c r="L184" s="17"/>
      <c r="M184" s="17" t="s">
        <v>137</v>
      </c>
      <c r="N184" s="17" t="s">
        <v>128</v>
      </c>
    </row>
    <row r="185" customFormat="false" ht="15" hidden="false" customHeight="false" outlineLevel="0" collapsed="false">
      <c r="A185" s="4" t="n">
        <v>451</v>
      </c>
      <c r="B185" s="15" t="n">
        <v>46260</v>
      </c>
      <c r="C185" s="4" t="s">
        <v>29</v>
      </c>
      <c r="D185" s="4" t="s">
        <v>124</v>
      </c>
      <c r="E185" s="17" t="s">
        <v>125</v>
      </c>
      <c r="F185" s="4" t="s">
        <v>122</v>
      </c>
      <c r="G185" s="11" t="n">
        <v>20</v>
      </c>
      <c r="H185" s="4" t="s">
        <v>119</v>
      </c>
      <c r="I185" s="11"/>
      <c r="J185" s="11" t="str">
        <f aca="false">IF(AND(ISNUMBER(G185),ISNUMBER(I185)),I185-G185,"")</f>
        <v/>
      </c>
      <c r="K185" s="10" t="n">
        <f aca="false">IF(H185="Réalisé",1,IF(H185="Partiel",0.5,IF(H185="Prévu","",0)))</f>
        <v>0</v>
      </c>
      <c r="L185" s="17"/>
      <c r="M185" s="17" t="s">
        <v>146</v>
      </c>
      <c r="N185" s="17"/>
    </row>
    <row r="186" customFormat="false" ht="15" hidden="false" customHeight="false" outlineLevel="0" collapsed="false">
      <c r="A186" s="4" t="n">
        <v>452</v>
      </c>
      <c r="B186" s="15" t="n">
        <v>46260</v>
      </c>
      <c r="C186" s="4" t="s">
        <v>30</v>
      </c>
      <c r="D186" s="4" t="s">
        <v>120</v>
      </c>
      <c r="E186" s="17" t="s">
        <v>121</v>
      </c>
      <c r="F186" s="4" t="s">
        <v>106</v>
      </c>
      <c r="G186" s="11" t="n">
        <v>30</v>
      </c>
      <c r="H186" s="4" t="s">
        <v>113</v>
      </c>
      <c r="I186" s="11" t="n">
        <v>39</v>
      </c>
      <c r="J186" s="11" t="n">
        <f aca="false">IF(AND(ISNUMBER(G186),ISNUMBER(I186)),I186-G186,"")</f>
        <v>9</v>
      </c>
      <c r="K186" s="10" t="n">
        <f aca="false">IF(H186="Réalisé",1,IF(H186="Partiel",0.5,IF(H186="Prévu","",0)))</f>
        <v>1</v>
      </c>
      <c r="L186" s="17"/>
      <c r="M186" s="17"/>
      <c r="N186" s="17"/>
    </row>
    <row r="187" customFormat="false" ht="15" hidden="false" customHeight="false" outlineLevel="0" collapsed="false">
      <c r="A187" s="4" t="n">
        <v>453</v>
      </c>
      <c r="B187" s="15" t="n">
        <v>46260</v>
      </c>
      <c r="C187" s="4" t="s">
        <v>25</v>
      </c>
      <c r="D187" s="4" t="s">
        <v>117</v>
      </c>
      <c r="E187" s="17" t="s">
        <v>118</v>
      </c>
      <c r="F187" s="4" t="s">
        <v>106</v>
      </c>
      <c r="G187" s="11" t="n">
        <v>40</v>
      </c>
      <c r="H187" s="4" t="s">
        <v>113</v>
      </c>
      <c r="I187" s="11" t="n">
        <v>24</v>
      </c>
      <c r="J187" s="11" t="n">
        <f aca="false">IF(AND(ISNUMBER(G187),ISNUMBER(I187)),I187-G187,"")</f>
        <v>-16</v>
      </c>
      <c r="K187" s="10" t="n">
        <f aca="false">IF(H187="Réalisé",1,IF(H187="Partiel",0.5,IF(H187="Prévu","",0)))</f>
        <v>1</v>
      </c>
      <c r="L187" s="17"/>
      <c r="M187" s="17"/>
      <c r="N187" s="17"/>
    </row>
    <row r="188" customFormat="false" ht="23.85" hidden="false" customHeight="false" outlineLevel="0" collapsed="false">
      <c r="A188" s="4" t="n">
        <v>454</v>
      </c>
      <c r="B188" s="15" t="n">
        <v>46260</v>
      </c>
      <c r="C188" s="4" t="s">
        <v>26</v>
      </c>
      <c r="D188" s="4" t="s">
        <v>110</v>
      </c>
      <c r="E188" s="17" t="s">
        <v>111</v>
      </c>
      <c r="F188" s="4" t="s">
        <v>106</v>
      </c>
      <c r="G188" s="11" t="n">
        <v>60</v>
      </c>
      <c r="H188" s="4" t="s">
        <v>119</v>
      </c>
      <c r="I188" s="11"/>
      <c r="J188" s="11" t="str">
        <f aca="false">IF(AND(ISNUMBER(G188),ISNUMBER(I188)),I188-G188,"")</f>
        <v/>
      </c>
      <c r="K188" s="10" t="n">
        <f aca="false">IF(H188="Réalisé",1,IF(H188="Partiel",0.5,IF(H188="Prévu","",0)))</f>
        <v>0</v>
      </c>
      <c r="L188" s="17"/>
      <c r="M188" s="17" t="s">
        <v>131</v>
      </c>
      <c r="N188" s="17" t="s">
        <v>109</v>
      </c>
    </row>
    <row r="189" customFormat="false" ht="15" hidden="false" customHeight="false" outlineLevel="0" collapsed="false">
      <c r="A189" s="4" t="n">
        <v>455</v>
      </c>
      <c r="B189" s="15" t="n">
        <v>46262</v>
      </c>
      <c r="C189" s="4" t="s">
        <v>26</v>
      </c>
      <c r="D189" s="4" t="s">
        <v>140</v>
      </c>
      <c r="E189" s="17" t="s">
        <v>141</v>
      </c>
      <c r="F189" s="4" t="s">
        <v>106</v>
      </c>
      <c r="G189" s="11" t="n">
        <v>60</v>
      </c>
      <c r="H189" s="4" t="s">
        <v>113</v>
      </c>
      <c r="I189" s="11" t="n">
        <v>80</v>
      </c>
      <c r="J189" s="11" t="n">
        <f aca="false">IF(AND(ISNUMBER(G189),ISNUMBER(I189)),I189-G189,"")</f>
        <v>20</v>
      </c>
      <c r="K189" s="10" t="n">
        <f aca="false">IF(H189="Réalisé",1,IF(H189="Partiel",0.5,IF(H189="Prévu","",0)))</f>
        <v>1</v>
      </c>
      <c r="L189" s="17"/>
      <c r="M189" s="17"/>
      <c r="N189" s="17"/>
    </row>
    <row r="190" customFormat="false" ht="15" hidden="false" customHeight="false" outlineLevel="0" collapsed="false">
      <c r="A190" s="4" t="n">
        <v>456</v>
      </c>
      <c r="B190" s="15" t="n">
        <v>46262</v>
      </c>
      <c r="C190" s="4" t="s">
        <v>25</v>
      </c>
      <c r="D190" s="4" t="s">
        <v>147</v>
      </c>
      <c r="E190" s="17" t="s">
        <v>148</v>
      </c>
      <c r="F190" s="4" t="s">
        <v>122</v>
      </c>
      <c r="G190" s="11" t="n">
        <v>30</v>
      </c>
      <c r="H190" s="4" t="s">
        <v>119</v>
      </c>
      <c r="I190" s="11"/>
      <c r="J190" s="11" t="str">
        <f aca="false">IF(AND(ISNUMBER(G190),ISNUMBER(I190)),I190-G190,"")</f>
        <v/>
      </c>
      <c r="K190" s="10" t="n">
        <f aca="false">IF(H190="Réalisé",1,IF(H190="Partiel",0.5,IF(H190="Prévu","",0)))</f>
        <v>0</v>
      </c>
      <c r="L190" s="17"/>
      <c r="M190" s="17" t="s">
        <v>150</v>
      </c>
      <c r="N190" s="17" t="s">
        <v>149</v>
      </c>
    </row>
    <row r="191" customFormat="false" ht="15" hidden="false" customHeight="false" outlineLevel="0" collapsed="false">
      <c r="A191" s="4" t="n">
        <v>457</v>
      </c>
      <c r="B191" s="15" t="n">
        <v>46262</v>
      </c>
      <c r="C191" s="4" t="s">
        <v>27</v>
      </c>
      <c r="D191" s="4" t="s">
        <v>135</v>
      </c>
      <c r="E191" s="17" t="s">
        <v>136</v>
      </c>
      <c r="F191" s="4" t="s">
        <v>112</v>
      </c>
      <c r="G191" s="11" t="n">
        <v>45</v>
      </c>
      <c r="H191" s="4" t="s">
        <v>107</v>
      </c>
      <c r="I191" s="11"/>
      <c r="J191" s="11" t="str">
        <f aca="false">IF(AND(ISNUMBER(G191),ISNUMBER(I191)),I191-G191,"")</f>
        <v/>
      </c>
      <c r="K191" s="10" t="n">
        <f aca="false">IF(H191="Réalisé",1,IF(H191="Partiel",0.5,IF(H191="Prévu","",0)))</f>
        <v>0</v>
      </c>
      <c r="L191" s="17"/>
      <c r="M191" s="17" t="s">
        <v>152</v>
      </c>
      <c r="N191" s="17" t="s">
        <v>138</v>
      </c>
    </row>
    <row r="192" customFormat="false" ht="23.85" hidden="false" customHeight="false" outlineLevel="0" collapsed="false">
      <c r="A192" s="4" t="n">
        <v>458</v>
      </c>
      <c r="B192" s="15" t="n">
        <v>46262</v>
      </c>
      <c r="C192" s="4" t="s">
        <v>26</v>
      </c>
      <c r="D192" s="4" t="s">
        <v>110</v>
      </c>
      <c r="E192" s="17" t="s">
        <v>111</v>
      </c>
      <c r="F192" s="4" t="s">
        <v>112</v>
      </c>
      <c r="G192" s="11" t="n">
        <v>60</v>
      </c>
      <c r="H192" s="4" t="s">
        <v>113</v>
      </c>
      <c r="I192" s="11" t="n">
        <v>59</v>
      </c>
      <c r="J192" s="11" t="n">
        <f aca="false">IF(AND(ISNUMBER(G192),ISNUMBER(I192)),I192-G192,"")</f>
        <v>-1</v>
      </c>
      <c r="K192" s="10" t="n">
        <f aca="false">IF(H192="Réalisé",1,IF(H192="Partiel",0.5,IF(H192="Prévu","",0)))</f>
        <v>1</v>
      </c>
      <c r="L192" s="17"/>
      <c r="M192" s="17"/>
      <c r="N192" s="17" t="s">
        <v>109</v>
      </c>
    </row>
    <row r="193" customFormat="false" ht="15" hidden="false" customHeight="false" outlineLevel="0" collapsed="false">
      <c r="A193" s="4" t="n">
        <v>459</v>
      </c>
      <c r="B193" s="15" t="n">
        <v>46263</v>
      </c>
      <c r="C193" s="4" t="s">
        <v>24</v>
      </c>
      <c r="D193" s="4" t="s">
        <v>132</v>
      </c>
      <c r="E193" s="17" t="s">
        <v>133</v>
      </c>
      <c r="F193" s="4" t="s">
        <v>122</v>
      </c>
      <c r="G193" s="11" t="n">
        <v>15</v>
      </c>
      <c r="H193" s="4" t="s">
        <v>113</v>
      </c>
      <c r="I193" s="11" t="n">
        <v>24</v>
      </c>
      <c r="J193" s="11" t="n">
        <f aca="false">IF(AND(ISNUMBER(G193),ISNUMBER(I193)),I193-G193,"")</f>
        <v>9</v>
      </c>
      <c r="K193" s="10" t="n">
        <f aca="false">IF(H193="Réalisé",1,IF(H193="Partiel",0.5,IF(H193="Prévu","",0)))</f>
        <v>1</v>
      </c>
      <c r="L193" s="17"/>
      <c r="M193" s="17"/>
      <c r="N193" s="17"/>
    </row>
    <row r="194" customFormat="false" ht="15" hidden="false" customHeight="false" outlineLevel="0" collapsed="false">
      <c r="A194" s="4" t="n">
        <v>460</v>
      </c>
      <c r="B194" s="15" t="n">
        <v>46263</v>
      </c>
      <c r="C194" s="4" t="s">
        <v>30</v>
      </c>
      <c r="D194" s="4" t="s">
        <v>120</v>
      </c>
      <c r="E194" s="17" t="s">
        <v>121</v>
      </c>
      <c r="F194" s="4" t="s">
        <v>112</v>
      </c>
      <c r="G194" s="11" t="n">
        <v>30</v>
      </c>
      <c r="H194" s="4" t="s">
        <v>113</v>
      </c>
      <c r="I194" s="11" t="n">
        <v>29</v>
      </c>
      <c r="J194" s="11" t="n">
        <f aca="false">IF(AND(ISNUMBER(G194),ISNUMBER(I194)),I194-G194,"")</f>
        <v>-1</v>
      </c>
      <c r="K194" s="10" t="n">
        <f aca="false">IF(H194="Réalisé",1,IF(H194="Partiel",0.5,IF(H194="Prévu","",0)))</f>
        <v>1</v>
      </c>
      <c r="L194" s="17"/>
      <c r="M194" s="17"/>
      <c r="N194" s="17"/>
    </row>
    <row r="195" customFormat="false" ht="23.85" hidden="false" customHeight="false" outlineLevel="0" collapsed="false">
      <c r="A195" s="4" t="n">
        <v>461</v>
      </c>
      <c r="B195" s="15" t="n">
        <v>46263</v>
      </c>
      <c r="C195" s="4" t="s">
        <v>26</v>
      </c>
      <c r="D195" s="4" t="s">
        <v>104</v>
      </c>
      <c r="E195" s="17" t="s">
        <v>105</v>
      </c>
      <c r="F195" s="4" t="s">
        <v>106</v>
      </c>
      <c r="G195" s="11" t="n">
        <v>120</v>
      </c>
      <c r="H195" s="4" t="s">
        <v>123</v>
      </c>
      <c r="I195" s="11"/>
      <c r="J195" s="11" t="str">
        <f aca="false">IF(AND(ISNUMBER(G195),ISNUMBER(I195)),I195-G195,"")</f>
        <v/>
      </c>
      <c r="K195" s="10" t="n">
        <f aca="false">IF(H195="Réalisé",1,IF(H195="Partiel",0.5,IF(H195="Prévu","",0)))</f>
        <v>0</v>
      </c>
      <c r="L195" s="17"/>
      <c r="M195" s="17" t="s">
        <v>152</v>
      </c>
      <c r="N195" s="17" t="s">
        <v>109</v>
      </c>
    </row>
    <row r="196" customFormat="false" ht="23.85" hidden="false" customHeight="false" outlineLevel="0" collapsed="false">
      <c r="A196" s="4" t="n">
        <v>462</v>
      </c>
      <c r="B196" s="15" t="n">
        <v>46263</v>
      </c>
      <c r="C196" s="4" t="s">
        <v>26</v>
      </c>
      <c r="D196" s="4" t="s">
        <v>110</v>
      </c>
      <c r="E196" s="17" t="s">
        <v>111</v>
      </c>
      <c r="F196" s="4" t="s">
        <v>112</v>
      </c>
      <c r="G196" s="11" t="n">
        <v>60</v>
      </c>
      <c r="H196" s="4" t="s">
        <v>113</v>
      </c>
      <c r="I196" s="11" t="n">
        <v>80</v>
      </c>
      <c r="J196" s="11" t="n">
        <f aca="false">IF(AND(ISNUMBER(G196),ISNUMBER(I196)),I196-G196,"")</f>
        <v>20</v>
      </c>
      <c r="K196" s="10" t="n">
        <f aca="false">IF(H196="Réalisé",1,IF(H196="Partiel",0.5,IF(H196="Prévu","",0)))</f>
        <v>1</v>
      </c>
      <c r="L196" s="17"/>
      <c r="M196" s="17"/>
      <c r="N196" s="17" t="s">
        <v>109</v>
      </c>
    </row>
    <row r="197" customFormat="false" ht="15" hidden="false" customHeight="false" outlineLevel="0" collapsed="false">
      <c r="A197" s="4" t="n">
        <v>463</v>
      </c>
      <c r="B197" s="15" t="n">
        <v>46264</v>
      </c>
      <c r="C197" s="4" t="s">
        <v>28</v>
      </c>
      <c r="D197" s="4" t="s">
        <v>114</v>
      </c>
      <c r="E197" s="17" t="s">
        <v>115</v>
      </c>
      <c r="F197" s="4" t="s">
        <v>106</v>
      </c>
      <c r="G197" s="11" t="n">
        <v>30</v>
      </c>
      <c r="H197" s="4" t="s">
        <v>107</v>
      </c>
      <c r="I197" s="11"/>
      <c r="J197" s="11" t="str">
        <f aca="false">IF(AND(ISNUMBER(G197),ISNUMBER(I197)),I197-G197,"")</f>
        <v/>
      </c>
      <c r="K197" s="10" t="n">
        <f aca="false">IF(H197="Réalisé",1,IF(H197="Partiel",0.5,IF(H197="Prévu","",0)))</f>
        <v>0</v>
      </c>
      <c r="L197" s="17"/>
      <c r="M197" s="17" t="s">
        <v>137</v>
      </c>
      <c r="N197" s="17"/>
    </row>
    <row r="198" customFormat="false" ht="23.85" hidden="false" customHeight="false" outlineLevel="0" collapsed="false">
      <c r="A198" s="4" t="n">
        <v>464</v>
      </c>
      <c r="B198" s="15" t="n">
        <v>46264</v>
      </c>
      <c r="C198" s="4" t="s">
        <v>26</v>
      </c>
      <c r="D198" s="4" t="s">
        <v>104</v>
      </c>
      <c r="E198" s="17" t="s">
        <v>105</v>
      </c>
      <c r="F198" s="4" t="s">
        <v>122</v>
      </c>
      <c r="G198" s="11" t="n">
        <v>120</v>
      </c>
      <c r="H198" s="4" t="s">
        <v>107</v>
      </c>
      <c r="I198" s="11"/>
      <c r="J198" s="11" t="str">
        <f aca="false">IF(AND(ISNUMBER(G198),ISNUMBER(I198)),I198-G198,"")</f>
        <v/>
      </c>
      <c r="K198" s="10" t="n">
        <f aca="false">IF(H198="Réalisé",1,IF(H198="Partiel",0.5,IF(H198="Prévu","",0)))</f>
        <v>0</v>
      </c>
      <c r="L198" s="17"/>
      <c r="M198" s="17" t="s">
        <v>108</v>
      </c>
      <c r="N198" s="17" t="s">
        <v>109</v>
      </c>
    </row>
    <row r="199" customFormat="false" ht="23.85" hidden="false" customHeight="false" outlineLevel="0" collapsed="false">
      <c r="A199" s="4" t="n">
        <v>465</v>
      </c>
      <c r="B199" s="15" t="n">
        <v>46264</v>
      </c>
      <c r="C199" s="4" t="s">
        <v>26</v>
      </c>
      <c r="D199" s="4" t="s">
        <v>110</v>
      </c>
      <c r="E199" s="17" t="s">
        <v>111</v>
      </c>
      <c r="F199" s="4" t="s">
        <v>106</v>
      </c>
      <c r="G199" s="11" t="n">
        <v>60</v>
      </c>
      <c r="H199" s="4" t="s">
        <v>113</v>
      </c>
      <c r="I199" s="11" t="n">
        <v>69</v>
      </c>
      <c r="J199" s="11" t="n">
        <f aca="false">IF(AND(ISNUMBER(G199),ISNUMBER(I199)),I199-G199,"")</f>
        <v>9</v>
      </c>
      <c r="K199" s="10" t="n">
        <f aca="false">IF(H199="Réalisé",1,IF(H199="Partiel",0.5,IF(H199="Prévu","",0)))</f>
        <v>1</v>
      </c>
      <c r="L199" s="17"/>
      <c r="M199" s="17"/>
      <c r="N199" s="17" t="s">
        <v>109</v>
      </c>
    </row>
    <row r="200" customFormat="false" ht="15" hidden="false" customHeight="false" outlineLevel="0" collapsed="false">
      <c r="A200" s="4" t="n">
        <v>466</v>
      </c>
      <c r="B200" s="15" t="n">
        <v>46265</v>
      </c>
      <c r="C200" s="4" t="s">
        <v>30</v>
      </c>
      <c r="D200" s="4" t="s">
        <v>120</v>
      </c>
      <c r="E200" s="17" t="s">
        <v>121</v>
      </c>
      <c r="F200" s="4" t="s">
        <v>112</v>
      </c>
      <c r="G200" s="11" t="n">
        <v>30</v>
      </c>
      <c r="H200" s="4" t="s">
        <v>113</v>
      </c>
      <c r="I200" s="11" t="n">
        <v>28</v>
      </c>
      <c r="J200" s="11" t="n">
        <f aca="false">IF(AND(ISNUMBER(G200),ISNUMBER(I200)),I200-G200,"")</f>
        <v>-2</v>
      </c>
      <c r="K200" s="10" t="n">
        <f aca="false">IF(H200="Réalisé",1,IF(H200="Partiel",0.5,IF(H200="Prévu","",0)))</f>
        <v>1</v>
      </c>
      <c r="L200" s="17"/>
      <c r="M200" s="17"/>
      <c r="N200" s="17"/>
    </row>
    <row r="201" customFormat="false" ht="15" hidden="false" customHeight="false" outlineLevel="0" collapsed="false">
      <c r="A201" s="4" t="n">
        <v>467</v>
      </c>
      <c r="B201" s="15" t="n">
        <v>46265</v>
      </c>
      <c r="C201" s="4" t="s">
        <v>25</v>
      </c>
      <c r="D201" s="4" t="s">
        <v>117</v>
      </c>
      <c r="E201" s="17" t="s">
        <v>118</v>
      </c>
      <c r="F201" s="4" t="s">
        <v>122</v>
      </c>
      <c r="G201" s="11" t="n">
        <v>40</v>
      </c>
      <c r="H201" s="4" t="s">
        <v>113</v>
      </c>
      <c r="I201" s="11" t="n">
        <v>27</v>
      </c>
      <c r="J201" s="11" t="n">
        <f aca="false">IF(AND(ISNUMBER(G201),ISNUMBER(I201)),I201-G201,"")</f>
        <v>-13</v>
      </c>
      <c r="K201" s="10" t="n">
        <f aca="false">IF(H201="Réalisé",1,IF(H201="Partiel",0.5,IF(H201="Prévu","",0)))</f>
        <v>1</v>
      </c>
      <c r="L201" s="17"/>
      <c r="M201" s="17"/>
      <c r="N201" s="17"/>
    </row>
    <row r="202" customFormat="false" ht="23.85" hidden="false" customHeight="false" outlineLevel="0" collapsed="false">
      <c r="A202" s="4" t="n">
        <v>468</v>
      </c>
      <c r="B202" s="15" t="n">
        <v>46265</v>
      </c>
      <c r="C202" s="4" t="s">
        <v>26</v>
      </c>
      <c r="D202" s="4" t="s">
        <v>110</v>
      </c>
      <c r="E202" s="17" t="s">
        <v>111</v>
      </c>
      <c r="F202" s="4" t="s">
        <v>112</v>
      </c>
      <c r="G202" s="11" t="n">
        <v>60</v>
      </c>
      <c r="H202" s="4" t="s">
        <v>113</v>
      </c>
      <c r="I202" s="11" t="n">
        <v>78</v>
      </c>
      <c r="J202" s="11" t="n">
        <f aca="false">IF(AND(ISNUMBER(G202),ISNUMBER(I202)),I202-G202,"")</f>
        <v>18</v>
      </c>
      <c r="K202" s="10" t="n">
        <f aca="false">IF(H202="Réalisé",1,IF(H202="Partiel",0.5,IF(H202="Prévu","",0)))</f>
        <v>1</v>
      </c>
      <c r="L202" s="17" t="s">
        <v>139</v>
      </c>
      <c r="M202" s="17"/>
      <c r="N202" s="17" t="s">
        <v>109</v>
      </c>
    </row>
    <row r="203" customFormat="false" ht="15" hidden="false" customHeight="false" outlineLevel="0" collapsed="false">
      <c r="A203" s="4" t="n">
        <v>469</v>
      </c>
      <c r="B203" s="15" t="n">
        <v>46267</v>
      </c>
      <c r="C203" s="4" t="s">
        <v>25</v>
      </c>
      <c r="D203" s="4" t="s">
        <v>147</v>
      </c>
      <c r="E203" s="17" t="s">
        <v>148</v>
      </c>
      <c r="F203" s="4" t="s">
        <v>106</v>
      </c>
      <c r="G203" s="11" t="n">
        <v>30</v>
      </c>
      <c r="H203" s="4" t="s">
        <v>107</v>
      </c>
      <c r="I203" s="11"/>
      <c r="J203" s="11" t="str">
        <f aca="false">IF(AND(ISNUMBER(G203),ISNUMBER(I203)),I203-G203,"")</f>
        <v/>
      </c>
      <c r="K203" s="10" t="n">
        <f aca="false">IF(H203="Réalisé",1,IF(H203="Partiel",0.5,IF(H203="Prévu","",0)))</f>
        <v>0</v>
      </c>
      <c r="L203" s="17"/>
      <c r="M203" s="17" t="s">
        <v>152</v>
      </c>
      <c r="N203" s="17" t="s">
        <v>149</v>
      </c>
    </row>
    <row r="204" customFormat="false" ht="15" hidden="false" customHeight="false" outlineLevel="0" collapsed="false">
      <c r="A204" s="4" t="n">
        <v>470</v>
      </c>
      <c r="B204" s="15" t="n">
        <v>46267</v>
      </c>
      <c r="C204" s="4" t="s">
        <v>27</v>
      </c>
      <c r="D204" s="4" t="s">
        <v>129</v>
      </c>
      <c r="E204" s="17" t="s">
        <v>130</v>
      </c>
      <c r="F204" s="4" t="s">
        <v>106</v>
      </c>
      <c r="G204" s="11" t="n">
        <v>60</v>
      </c>
      <c r="H204" s="4" t="s">
        <v>119</v>
      </c>
      <c r="I204" s="11"/>
      <c r="J204" s="11" t="str">
        <f aca="false">IF(AND(ISNUMBER(G204),ISNUMBER(I204)),I204-G204,"")</f>
        <v/>
      </c>
      <c r="K204" s="10" t="n">
        <f aca="false">IF(H204="Réalisé",1,IF(H204="Partiel",0.5,IF(H204="Prévu","",0)))</f>
        <v>0</v>
      </c>
      <c r="L204" s="17"/>
      <c r="M204" s="17" t="s">
        <v>152</v>
      </c>
      <c r="N204" s="17"/>
    </row>
    <row r="205" customFormat="false" ht="15" hidden="false" customHeight="false" outlineLevel="0" collapsed="false">
      <c r="A205" s="4" t="n">
        <v>471</v>
      </c>
      <c r="B205" s="15" t="n">
        <v>46267</v>
      </c>
      <c r="C205" s="4" t="s">
        <v>30</v>
      </c>
      <c r="D205" s="4" t="s">
        <v>120</v>
      </c>
      <c r="E205" s="17" t="s">
        <v>121</v>
      </c>
      <c r="F205" s="4" t="s">
        <v>112</v>
      </c>
      <c r="G205" s="11" t="n">
        <v>30</v>
      </c>
      <c r="H205" s="4" t="s">
        <v>134</v>
      </c>
      <c r="I205" s="11" t="n">
        <v>16</v>
      </c>
      <c r="J205" s="11" t="n">
        <f aca="false">IF(AND(ISNUMBER(G205),ISNUMBER(I205)),I205-G205,"")</f>
        <v>-14</v>
      </c>
      <c r="K205" s="10" t="n">
        <f aca="false">IF(H205="Réalisé",1,IF(H205="Partiel",0.5,IF(H205="Prévu","",0)))</f>
        <v>0.5</v>
      </c>
      <c r="L205" s="17"/>
      <c r="M205" s="17"/>
      <c r="N205" s="17"/>
    </row>
    <row r="206" customFormat="false" ht="15" hidden="false" customHeight="false" outlineLevel="0" collapsed="false">
      <c r="A206" s="4" t="n">
        <v>472</v>
      </c>
      <c r="B206" s="15" t="n">
        <v>46267</v>
      </c>
      <c r="C206" s="4" t="s">
        <v>26</v>
      </c>
      <c r="D206" s="4" t="s">
        <v>140</v>
      </c>
      <c r="E206" s="17" t="s">
        <v>141</v>
      </c>
      <c r="F206" s="4" t="s">
        <v>122</v>
      </c>
      <c r="G206" s="11" t="n">
        <v>60</v>
      </c>
      <c r="H206" s="4" t="s">
        <v>107</v>
      </c>
      <c r="I206" s="11"/>
      <c r="J206" s="11" t="str">
        <f aca="false">IF(AND(ISNUMBER(G206),ISNUMBER(I206)),I206-G206,"")</f>
        <v/>
      </c>
      <c r="K206" s="10" t="n">
        <f aca="false">IF(H206="Réalisé",1,IF(H206="Partiel",0.5,IF(H206="Prévu","",0)))</f>
        <v>0</v>
      </c>
      <c r="L206" s="17"/>
      <c r="M206" s="17" t="s">
        <v>152</v>
      </c>
      <c r="N206" s="17"/>
    </row>
    <row r="207" customFormat="false" ht="15" hidden="false" customHeight="false" outlineLevel="0" collapsed="false">
      <c r="A207" s="4" t="n">
        <v>473</v>
      </c>
      <c r="B207" s="15" t="n">
        <v>46267</v>
      </c>
      <c r="C207" s="4" t="s">
        <v>26</v>
      </c>
      <c r="D207" s="4" t="s">
        <v>142</v>
      </c>
      <c r="E207" s="17" t="s">
        <v>143</v>
      </c>
      <c r="F207" s="4" t="s">
        <v>112</v>
      </c>
      <c r="G207" s="11" t="n">
        <v>45</v>
      </c>
      <c r="H207" s="4" t="s">
        <v>123</v>
      </c>
      <c r="I207" s="11"/>
      <c r="J207" s="11" t="str">
        <f aca="false">IF(AND(ISNUMBER(G207),ISNUMBER(I207)),I207-G207,"")</f>
        <v/>
      </c>
      <c r="K207" s="10" t="n">
        <f aca="false">IF(H207="Réalisé",1,IF(H207="Partiel",0.5,IF(H207="Prévu","",0)))</f>
        <v>0</v>
      </c>
      <c r="L207" s="17"/>
      <c r="M207" s="17" t="s">
        <v>108</v>
      </c>
      <c r="N207" s="17"/>
    </row>
    <row r="208" customFormat="false" ht="23.85" hidden="false" customHeight="false" outlineLevel="0" collapsed="false">
      <c r="A208" s="4" t="n">
        <v>474</v>
      </c>
      <c r="B208" s="15" t="n">
        <v>46267</v>
      </c>
      <c r="C208" s="4" t="s">
        <v>26</v>
      </c>
      <c r="D208" s="4" t="s">
        <v>104</v>
      </c>
      <c r="E208" s="17" t="s">
        <v>105</v>
      </c>
      <c r="F208" s="4" t="s">
        <v>106</v>
      </c>
      <c r="G208" s="11" t="n">
        <v>120</v>
      </c>
      <c r="H208" s="4" t="s">
        <v>123</v>
      </c>
      <c r="I208" s="11"/>
      <c r="J208" s="11" t="str">
        <f aca="false">IF(AND(ISNUMBER(G208),ISNUMBER(I208)),I208-G208,"")</f>
        <v/>
      </c>
      <c r="K208" s="10" t="n">
        <f aca="false">IF(H208="Réalisé",1,IF(H208="Partiel",0.5,IF(H208="Prévu","",0)))</f>
        <v>0</v>
      </c>
      <c r="L208" s="17"/>
      <c r="M208" s="17" t="s">
        <v>131</v>
      </c>
      <c r="N208" s="17" t="s">
        <v>109</v>
      </c>
    </row>
    <row r="209" customFormat="false" ht="23.85" hidden="false" customHeight="false" outlineLevel="0" collapsed="false">
      <c r="A209" s="4" t="n">
        <v>475</v>
      </c>
      <c r="B209" s="15" t="n">
        <v>46267</v>
      </c>
      <c r="C209" s="4" t="s">
        <v>26</v>
      </c>
      <c r="D209" s="4" t="s">
        <v>110</v>
      </c>
      <c r="E209" s="17" t="s">
        <v>111</v>
      </c>
      <c r="F209" s="4" t="s">
        <v>122</v>
      </c>
      <c r="G209" s="11" t="n">
        <v>60</v>
      </c>
      <c r="H209" s="4" t="s">
        <v>107</v>
      </c>
      <c r="I209" s="11"/>
      <c r="J209" s="11" t="str">
        <f aca="false">IF(AND(ISNUMBER(G209),ISNUMBER(I209)),I209-G209,"")</f>
        <v/>
      </c>
      <c r="K209" s="10" t="n">
        <f aca="false">IF(H209="Réalisé",1,IF(H209="Partiel",0.5,IF(H209="Prévu","",0)))</f>
        <v>0</v>
      </c>
      <c r="L209" s="17"/>
      <c r="M209" s="17" t="s">
        <v>150</v>
      </c>
      <c r="N209" s="17" t="s">
        <v>109</v>
      </c>
    </row>
    <row r="210" customFormat="false" ht="15" hidden="false" customHeight="false" outlineLevel="0" collapsed="false">
      <c r="A210" s="4" t="n">
        <v>476</v>
      </c>
      <c r="B210" s="15" t="n">
        <v>46268</v>
      </c>
      <c r="C210" s="4" t="s">
        <v>25</v>
      </c>
      <c r="D210" s="4" t="s">
        <v>117</v>
      </c>
      <c r="E210" s="17" t="s">
        <v>118</v>
      </c>
      <c r="F210" s="4" t="s">
        <v>122</v>
      </c>
      <c r="G210" s="11" t="n">
        <v>40</v>
      </c>
      <c r="H210" s="4" t="s">
        <v>134</v>
      </c>
      <c r="I210" s="11" t="n">
        <v>17</v>
      </c>
      <c r="J210" s="11" t="n">
        <f aca="false">IF(AND(ISNUMBER(G210),ISNUMBER(I210)),I210-G210,"")</f>
        <v>-23</v>
      </c>
      <c r="K210" s="10" t="n">
        <f aca="false">IF(H210="Réalisé",1,IF(H210="Partiel",0.5,IF(H210="Prévu","",0)))</f>
        <v>0.5</v>
      </c>
      <c r="L210" s="17"/>
      <c r="M210" s="17"/>
      <c r="N210" s="17"/>
    </row>
    <row r="211" customFormat="false" ht="15" hidden="false" customHeight="false" outlineLevel="0" collapsed="false">
      <c r="A211" s="4" t="n">
        <v>477</v>
      </c>
      <c r="B211" s="15" t="n">
        <v>46268</v>
      </c>
      <c r="C211" s="4" t="s">
        <v>24</v>
      </c>
      <c r="D211" s="4" t="s">
        <v>132</v>
      </c>
      <c r="E211" s="17" t="s">
        <v>133</v>
      </c>
      <c r="F211" s="4" t="s">
        <v>112</v>
      </c>
      <c r="G211" s="11" t="n">
        <v>15</v>
      </c>
      <c r="H211" s="4" t="s">
        <v>134</v>
      </c>
      <c r="I211" s="11" t="n">
        <v>12</v>
      </c>
      <c r="J211" s="11" t="n">
        <f aca="false">IF(AND(ISNUMBER(G211),ISNUMBER(I211)),I211-G211,"")</f>
        <v>-3</v>
      </c>
      <c r="K211" s="10" t="n">
        <f aca="false">IF(H211="Réalisé",1,IF(H211="Partiel",0.5,IF(H211="Prévu","",0)))</f>
        <v>0.5</v>
      </c>
      <c r="L211" s="17"/>
      <c r="M211" s="17"/>
      <c r="N211" s="17"/>
    </row>
    <row r="212" customFormat="false" ht="15" hidden="false" customHeight="false" outlineLevel="0" collapsed="false">
      <c r="A212" s="4" t="n">
        <v>478</v>
      </c>
      <c r="B212" s="15" t="n">
        <v>46268</v>
      </c>
      <c r="C212" s="4" t="s">
        <v>25</v>
      </c>
      <c r="D212" s="4" t="s">
        <v>147</v>
      </c>
      <c r="E212" s="17" t="s">
        <v>148</v>
      </c>
      <c r="F212" s="4" t="s">
        <v>122</v>
      </c>
      <c r="G212" s="11" t="n">
        <v>30</v>
      </c>
      <c r="H212" s="4" t="s">
        <v>119</v>
      </c>
      <c r="I212" s="11"/>
      <c r="J212" s="11" t="str">
        <f aca="false">IF(AND(ISNUMBER(G212),ISNUMBER(I212)),I212-G212,"")</f>
        <v/>
      </c>
      <c r="K212" s="10" t="n">
        <f aca="false">IF(H212="Réalisé",1,IF(H212="Partiel",0.5,IF(H212="Prévu","",0)))</f>
        <v>0</v>
      </c>
      <c r="L212" s="17"/>
      <c r="M212" s="17" t="s">
        <v>116</v>
      </c>
      <c r="N212" s="17" t="s">
        <v>149</v>
      </c>
    </row>
    <row r="213" customFormat="false" ht="15" hidden="false" customHeight="false" outlineLevel="0" collapsed="false">
      <c r="A213" s="4" t="n">
        <v>479</v>
      </c>
      <c r="B213" s="15" t="n">
        <v>46268</v>
      </c>
      <c r="C213" s="4" t="s">
        <v>29</v>
      </c>
      <c r="D213" s="4" t="s">
        <v>124</v>
      </c>
      <c r="E213" s="17" t="s">
        <v>125</v>
      </c>
      <c r="F213" s="4" t="s">
        <v>106</v>
      </c>
      <c r="G213" s="11" t="n">
        <v>20</v>
      </c>
      <c r="H213" s="4" t="s">
        <v>113</v>
      </c>
      <c r="I213" s="11" t="n">
        <v>20</v>
      </c>
      <c r="J213" s="11" t="n">
        <f aca="false">IF(AND(ISNUMBER(G213),ISNUMBER(I213)),I213-G213,"")</f>
        <v>0</v>
      </c>
      <c r="K213" s="10" t="n">
        <f aca="false">IF(H213="Réalisé",1,IF(H213="Partiel",0.5,IF(H213="Prévu","",0)))</f>
        <v>1</v>
      </c>
      <c r="L213" s="17"/>
      <c r="M213" s="17"/>
      <c r="N213" s="17"/>
    </row>
    <row r="214" customFormat="false" ht="23.85" hidden="false" customHeight="false" outlineLevel="0" collapsed="false">
      <c r="A214" s="4" t="n">
        <v>480</v>
      </c>
      <c r="B214" s="15" t="n">
        <v>46268</v>
      </c>
      <c r="C214" s="4" t="s">
        <v>26</v>
      </c>
      <c r="D214" s="4" t="s">
        <v>110</v>
      </c>
      <c r="E214" s="17" t="s">
        <v>111</v>
      </c>
      <c r="F214" s="4" t="s">
        <v>122</v>
      </c>
      <c r="G214" s="11" t="n">
        <v>60</v>
      </c>
      <c r="H214" s="4" t="s">
        <v>107</v>
      </c>
      <c r="I214" s="11"/>
      <c r="J214" s="11" t="str">
        <f aca="false">IF(AND(ISNUMBER(G214),ISNUMBER(I214)),I214-G214,"")</f>
        <v/>
      </c>
      <c r="K214" s="10" t="n">
        <f aca="false">IF(H214="Réalisé",1,IF(H214="Partiel",0.5,IF(H214="Prévu","",0)))</f>
        <v>0</v>
      </c>
      <c r="L214" s="17"/>
      <c r="M214" s="17" t="s">
        <v>146</v>
      </c>
      <c r="N214" s="17" t="s">
        <v>109</v>
      </c>
    </row>
    <row r="215" customFormat="false" ht="15" hidden="false" customHeight="false" outlineLevel="0" collapsed="false">
      <c r="A215" s="4" t="n">
        <v>481</v>
      </c>
      <c r="B215" s="15" t="n">
        <v>46269</v>
      </c>
      <c r="C215" s="4" t="s">
        <v>26</v>
      </c>
      <c r="D215" s="4" t="s">
        <v>142</v>
      </c>
      <c r="E215" s="17" t="s">
        <v>143</v>
      </c>
      <c r="F215" s="4" t="s">
        <v>112</v>
      </c>
      <c r="G215" s="11" t="n">
        <v>45</v>
      </c>
      <c r="H215" s="4" t="s">
        <v>113</v>
      </c>
      <c r="I215" s="11" t="n">
        <v>86</v>
      </c>
      <c r="J215" s="11" t="n">
        <f aca="false">IF(AND(ISNUMBER(G215),ISNUMBER(I215)),I215-G215,"")</f>
        <v>41</v>
      </c>
      <c r="K215" s="10" t="n">
        <f aca="false">IF(H215="Réalisé",1,IF(H215="Partiel",0.5,IF(H215="Prévu","",0)))</f>
        <v>1</v>
      </c>
      <c r="L215" s="17"/>
      <c r="M215" s="17"/>
      <c r="N215" s="17"/>
    </row>
    <row r="216" customFormat="false" ht="15" hidden="false" customHeight="false" outlineLevel="0" collapsed="false">
      <c r="A216" s="4" t="n">
        <v>482</v>
      </c>
      <c r="B216" s="15" t="n">
        <v>46269</v>
      </c>
      <c r="C216" s="4" t="s">
        <v>26</v>
      </c>
      <c r="D216" s="4" t="s">
        <v>140</v>
      </c>
      <c r="E216" s="17" t="s">
        <v>141</v>
      </c>
      <c r="F216" s="4" t="s">
        <v>106</v>
      </c>
      <c r="G216" s="11" t="n">
        <v>60</v>
      </c>
      <c r="H216" s="4" t="s">
        <v>119</v>
      </c>
      <c r="I216" s="11"/>
      <c r="J216" s="11" t="str">
        <f aca="false">IF(AND(ISNUMBER(G216),ISNUMBER(I216)),I216-G216,"")</f>
        <v/>
      </c>
      <c r="K216" s="10" t="n">
        <f aca="false">IF(H216="Réalisé",1,IF(H216="Partiel",0.5,IF(H216="Prévu","",0)))</f>
        <v>0</v>
      </c>
      <c r="L216" s="17"/>
      <c r="M216" s="17" t="s">
        <v>146</v>
      </c>
      <c r="N216" s="17"/>
    </row>
    <row r="217" customFormat="false" ht="15" hidden="false" customHeight="false" outlineLevel="0" collapsed="false">
      <c r="A217" s="4" t="n">
        <v>483</v>
      </c>
      <c r="B217" s="15" t="n">
        <v>46269</v>
      </c>
      <c r="C217" s="4" t="s">
        <v>25</v>
      </c>
      <c r="D217" s="4" t="s">
        <v>117</v>
      </c>
      <c r="E217" s="17" t="s">
        <v>118</v>
      </c>
      <c r="F217" s="4" t="s">
        <v>112</v>
      </c>
      <c r="G217" s="11" t="n">
        <v>40</v>
      </c>
      <c r="H217" s="4" t="s">
        <v>119</v>
      </c>
      <c r="I217" s="11"/>
      <c r="J217" s="11" t="str">
        <f aca="false">IF(AND(ISNUMBER(G217),ISNUMBER(I217)),I217-G217,"")</f>
        <v/>
      </c>
      <c r="K217" s="10" t="n">
        <f aca="false">IF(H217="Réalisé",1,IF(H217="Partiel",0.5,IF(H217="Prévu","",0)))</f>
        <v>0</v>
      </c>
      <c r="L217" s="17"/>
      <c r="M217" s="17" t="s">
        <v>152</v>
      </c>
      <c r="N217" s="17"/>
    </row>
    <row r="218" customFormat="false" ht="23.85" hidden="false" customHeight="false" outlineLevel="0" collapsed="false">
      <c r="A218" s="4" t="n">
        <v>484</v>
      </c>
      <c r="B218" s="15" t="n">
        <v>46269</v>
      </c>
      <c r="C218" s="4" t="s">
        <v>26</v>
      </c>
      <c r="D218" s="4" t="s">
        <v>110</v>
      </c>
      <c r="E218" s="17" t="s">
        <v>111</v>
      </c>
      <c r="F218" s="4" t="s">
        <v>122</v>
      </c>
      <c r="G218" s="11" t="n">
        <v>60</v>
      </c>
      <c r="H218" s="4" t="s">
        <v>134</v>
      </c>
      <c r="I218" s="11" t="n">
        <v>52</v>
      </c>
      <c r="J218" s="11" t="n">
        <f aca="false">IF(AND(ISNUMBER(G218),ISNUMBER(I218)),I218-G218,"")</f>
        <v>-8</v>
      </c>
      <c r="K218" s="10" t="n">
        <f aca="false">IF(H218="Réalisé",1,IF(H218="Partiel",0.5,IF(H218="Prévu","",0)))</f>
        <v>0.5</v>
      </c>
      <c r="L218" s="17"/>
      <c r="M218" s="17"/>
      <c r="N218" s="17" t="s">
        <v>109</v>
      </c>
    </row>
    <row r="219" customFormat="false" ht="15" hidden="false" customHeight="false" outlineLevel="0" collapsed="false">
      <c r="A219" s="4" t="n">
        <v>485</v>
      </c>
      <c r="B219" s="15" t="n">
        <v>46270</v>
      </c>
      <c r="C219" s="4" t="s">
        <v>28</v>
      </c>
      <c r="D219" s="4" t="s">
        <v>114</v>
      </c>
      <c r="E219" s="17" t="s">
        <v>115</v>
      </c>
      <c r="F219" s="4" t="s">
        <v>106</v>
      </c>
      <c r="G219" s="11" t="n">
        <v>30</v>
      </c>
      <c r="H219" s="4" t="s">
        <v>119</v>
      </c>
      <c r="I219" s="11"/>
      <c r="J219" s="11" t="str">
        <f aca="false">IF(AND(ISNUMBER(G219),ISNUMBER(I219)),I219-G219,"")</f>
        <v/>
      </c>
      <c r="K219" s="10" t="n">
        <f aca="false">IF(H219="Réalisé",1,IF(H219="Partiel",0.5,IF(H219="Prévu","",0)))</f>
        <v>0</v>
      </c>
      <c r="L219" s="17"/>
      <c r="M219" s="17" t="s">
        <v>116</v>
      </c>
      <c r="N219" s="17"/>
    </row>
    <row r="220" customFormat="false" ht="15" hidden="false" customHeight="false" outlineLevel="0" collapsed="false">
      <c r="A220" s="4" t="n">
        <v>486</v>
      </c>
      <c r="B220" s="15" t="n">
        <v>46270</v>
      </c>
      <c r="C220" s="4" t="s">
        <v>29</v>
      </c>
      <c r="D220" s="4" t="s">
        <v>124</v>
      </c>
      <c r="E220" s="17" t="s">
        <v>125</v>
      </c>
      <c r="F220" s="4" t="s">
        <v>106</v>
      </c>
      <c r="G220" s="11" t="n">
        <v>20</v>
      </c>
      <c r="H220" s="4" t="s">
        <v>113</v>
      </c>
      <c r="I220" s="11" t="n">
        <v>25</v>
      </c>
      <c r="J220" s="11" t="n">
        <f aca="false">IF(AND(ISNUMBER(G220),ISNUMBER(I220)),I220-G220,"")</f>
        <v>5</v>
      </c>
      <c r="K220" s="10" t="n">
        <f aca="false">IF(H220="Réalisé",1,IF(H220="Partiel",0.5,IF(H220="Prévu","",0)))</f>
        <v>1</v>
      </c>
      <c r="L220" s="17"/>
      <c r="M220" s="17"/>
      <c r="N220" s="17"/>
    </row>
    <row r="221" customFormat="false" ht="15" hidden="false" customHeight="false" outlineLevel="0" collapsed="false">
      <c r="A221" s="4" t="n">
        <v>487</v>
      </c>
      <c r="B221" s="15" t="n">
        <v>46270</v>
      </c>
      <c r="C221" s="4" t="s">
        <v>24</v>
      </c>
      <c r="D221" s="4" t="s">
        <v>126</v>
      </c>
      <c r="E221" s="17" t="s">
        <v>127</v>
      </c>
      <c r="F221" s="4" t="s">
        <v>122</v>
      </c>
      <c r="G221" s="11" t="n">
        <v>20</v>
      </c>
      <c r="H221" s="4" t="s">
        <v>113</v>
      </c>
      <c r="I221" s="11" t="n">
        <v>15</v>
      </c>
      <c r="J221" s="11" t="n">
        <f aca="false">IF(AND(ISNUMBER(G221),ISNUMBER(I221)),I221-G221,"")</f>
        <v>-5</v>
      </c>
      <c r="K221" s="10" t="n">
        <f aca="false">IF(H221="Réalisé",1,IF(H221="Partiel",0.5,IF(H221="Prévu","",0)))</f>
        <v>1</v>
      </c>
      <c r="L221" s="17"/>
      <c r="M221" s="17"/>
      <c r="N221" s="17" t="s">
        <v>128</v>
      </c>
    </row>
    <row r="222" customFormat="false" ht="15" hidden="false" customHeight="false" outlineLevel="0" collapsed="false">
      <c r="A222" s="4" t="n">
        <v>488</v>
      </c>
      <c r="B222" s="15" t="n">
        <v>46270</v>
      </c>
      <c r="C222" s="4" t="s">
        <v>30</v>
      </c>
      <c r="D222" s="4" t="s">
        <v>120</v>
      </c>
      <c r="E222" s="17" t="s">
        <v>121</v>
      </c>
      <c r="F222" s="4" t="s">
        <v>106</v>
      </c>
      <c r="G222" s="11" t="n">
        <v>30</v>
      </c>
      <c r="H222" s="4" t="s">
        <v>107</v>
      </c>
      <c r="I222" s="11"/>
      <c r="J222" s="11" t="str">
        <f aca="false">IF(AND(ISNUMBER(G222),ISNUMBER(I222)),I222-G222,"")</f>
        <v/>
      </c>
      <c r="K222" s="10" t="n">
        <f aca="false">IF(H222="Réalisé",1,IF(H222="Partiel",0.5,IF(H222="Prévu","",0)))</f>
        <v>0</v>
      </c>
      <c r="L222" s="17"/>
      <c r="M222" s="17" t="s">
        <v>108</v>
      </c>
      <c r="N222" s="17"/>
    </row>
    <row r="223" customFormat="false" ht="23.85" hidden="false" customHeight="false" outlineLevel="0" collapsed="false">
      <c r="A223" s="4" t="n">
        <v>489</v>
      </c>
      <c r="B223" s="15" t="n">
        <v>46270</v>
      </c>
      <c r="C223" s="4" t="s">
        <v>26</v>
      </c>
      <c r="D223" s="4" t="s">
        <v>110</v>
      </c>
      <c r="E223" s="17" t="s">
        <v>111</v>
      </c>
      <c r="F223" s="4" t="s">
        <v>106</v>
      </c>
      <c r="G223" s="11" t="n">
        <v>60</v>
      </c>
      <c r="H223" s="4" t="s">
        <v>107</v>
      </c>
      <c r="I223" s="11"/>
      <c r="J223" s="11" t="str">
        <f aca="false">IF(AND(ISNUMBER(G223),ISNUMBER(I223)),I223-G223,"")</f>
        <v/>
      </c>
      <c r="K223" s="10" t="n">
        <f aca="false">IF(H223="Réalisé",1,IF(H223="Partiel",0.5,IF(H223="Prévu","",0)))</f>
        <v>0</v>
      </c>
      <c r="L223" s="17"/>
      <c r="M223" s="17" t="s">
        <v>116</v>
      </c>
      <c r="N223" s="17" t="s">
        <v>109</v>
      </c>
    </row>
    <row r="224" customFormat="false" ht="15" hidden="false" customHeight="false" outlineLevel="0" collapsed="false">
      <c r="A224" s="4" t="n">
        <v>490</v>
      </c>
      <c r="B224" s="15" t="n">
        <v>46271</v>
      </c>
      <c r="C224" s="4" t="s">
        <v>24</v>
      </c>
      <c r="D224" s="4" t="s">
        <v>126</v>
      </c>
      <c r="E224" s="17" t="s">
        <v>127</v>
      </c>
      <c r="F224" s="4" t="s">
        <v>106</v>
      </c>
      <c r="G224" s="11" t="n">
        <v>20</v>
      </c>
      <c r="H224" s="4" t="s">
        <v>113</v>
      </c>
      <c r="I224" s="11" t="n">
        <v>22</v>
      </c>
      <c r="J224" s="11" t="n">
        <f aca="false">IF(AND(ISNUMBER(G224),ISNUMBER(I224)),I224-G224,"")</f>
        <v>2</v>
      </c>
      <c r="K224" s="10" t="n">
        <f aca="false">IF(H224="Réalisé",1,IF(H224="Partiel",0.5,IF(H224="Prévu","",0)))</f>
        <v>1</v>
      </c>
      <c r="L224" s="17"/>
      <c r="M224" s="17"/>
      <c r="N224" s="17" t="s">
        <v>128</v>
      </c>
    </row>
    <row r="225" customFormat="false" ht="15" hidden="false" customHeight="false" outlineLevel="0" collapsed="false">
      <c r="A225" s="4" t="n">
        <v>491</v>
      </c>
      <c r="B225" s="15" t="n">
        <v>46271</v>
      </c>
      <c r="C225" s="4" t="s">
        <v>27</v>
      </c>
      <c r="D225" s="4" t="s">
        <v>129</v>
      </c>
      <c r="E225" s="17" t="s">
        <v>130</v>
      </c>
      <c r="F225" s="4" t="s">
        <v>106</v>
      </c>
      <c r="G225" s="11" t="n">
        <v>60</v>
      </c>
      <c r="H225" s="4" t="s">
        <v>123</v>
      </c>
      <c r="I225" s="11"/>
      <c r="J225" s="11" t="str">
        <f aca="false">IF(AND(ISNUMBER(G225),ISNUMBER(I225)),I225-G225,"")</f>
        <v/>
      </c>
      <c r="K225" s="10" t="n">
        <f aca="false">IF(H225="Réalisé",1,IF(H225="Partiel",0.5,IF(H225="Prévu","",0)))</f>
        <v>0</v>
      </c>
      <c r="L225" s="17"/>
      <c r="M225" s="17" t="s">
        <v>150</v>
      </c>
      <c r="N225" s="17"/>
    </row>
    <row r="226" customFormat="false" ht="23.85" hidden="false" customHeight="false" outlineLevel="0" collapsed="false">
      <c r="A226" s="4" t="n">
        <v>492</v>
      </c>
      <c r="B226" s="15" t="n">
        <v>46271</v>
      </c>
      <c r="C226" s="4" t="s">
        <v>26</v>
      </c>
      <c r="D226" s="4" t="s">
        <v>110</v>
      </c>
      <c r="E226" s="17" t="s">
        <v>111</v>
      </c>
      <c r="F226" s="4" t="s">
        <v>106</v>
      </c>
      <c r="G226" s="11" t="n">
        <v>60</v>
      </c>
      <c r="H226" s="4" t="s">
        <v>113</v>
      </c>
      <c r="I226" s="11" t="n">
        <v>75</v>
      </c>
      <c r="J226" s="11" t="n">
        <f aca="false">IF(AND(ISNUMBER(G226),ISNUMBER(I226)),I226-G226,"")</f>
        <v>15</v>
      </c>
      <c r="K226" s="10" t="n">
        <f aca="false">IF(H226="Réalisé",1,IF(H226="Partiel",0.5,IF(H226="Prévu","",0)))</f>
        <v>1</v>
      </c>
      <c r="L226" s="17" t="s">
        <v>144</v>
      </c>
      <c r="M226" s="17"/>
      <c r="N226" s="17" t="s">
        <v>109</v>
      </c>
    </row>
    <row r="227" customFormat="false" ht="15" hidden="false" customHeight="false" outlineLevel="0" collapsed="false">
      <c r="A227" s="4" t="n">
        <v>493</v>
      </c>
      <c r="B227" s="15" t="n">
        <v>46272</v>
      </c>
      <c r="C227" s="4" t="s">
        <v>26</v>
      </c>
      <c r="D227" s="4" t="s">
        <v>140</v>
      </c>
      <c r="E227" s="17" t="s">
        <v>141</v>
      </c>
      <c r="F227" s="4" t="s">
        <v>122</v>
      </c>
      <c r="G227" s="11" t="n">
        <v>60</v>
      </c>
      <c r="H227" s="4" t="s">
        <v>119</v>
      </c>
      <c r="I227" s="11"/>
      <c r="J227" s="11" t="str">
        <f aca="false">IF(AND(ISNUMBER(G227),ISNUMBER(I227)),I227-G227,"")</f>
        <v/>
      </c>
      <c r="K227" s="10" t="n">
        <f aca="false">IF(H227="Réalisé",1,IF(H227="Partiel",0.5,IF(H227="Prévu","",0)))</f>
        <v>0</v>
      </c>
      <c r="L227" s="17"/>
      <c r="M227" s="17" t="s">
        <v>152</v>
      </c>
      <c r="N227" s="17"/>
    </row>
    <row r="228" customFormat="false" ht="15" hidden="false" customHeight="false" outlineLevel="0" collapsed="false">
      <c r="A228" s="4" t="n">
        <v>494</v>
      </c>
      <c r="B228" s="15" t="n">
        <v>46272</v>
      </c>
      <c r="C228" s="4" t="s">
        <v>29</v>
      </c>
      <c r="D228" s="4" t="s">
        <v>124</v>
      </c>
      <c r="E228" s="17" t="s">
        <v>125</v>
      </c>
      <c r="F228" s="4" t="s">
        <v>112</v>
      </c>
      <c r="G228" s="11" t="n">
        <v>20</v>
      </c>
      <c r="H228" s="4" t="s">
        <v>123</v>
      </c>
      <c r="I228" s="11"/>
      <c r="J228" s="11" t="str">
        <f aca="false">IF(AND(ISNUMBER(G228),ISNUMBER(I228)),I228-G228,"")</f>
        <v/>
      </c>
      <c r="K228" s="10" t="n">
        <f aca="false">IF(H228="Réalisé",1,IF(H228="Partiel",0.5,IF(H228="Prévu","",0)))</f>
        <v>0</v>
      </c>
      <c r="L228" s="17"/>
      <c r="M228" s="17" t="s">
        <v>116</v>
      </c>
      <c r="N228" s="17"/>
    </row>
    <row r="229" customFormat="false" ht="23.85" hidden="false" customHeight="false" outlineLevel="0" collapsed="false">
      <c r="A229" s="4" t="n">
        <v>495</v>
      </c>
      <c r="B229" s="15" t="n">
        <v>46272</v>
      </c>
      <c r="C229" s="4" t="s">
        <v>26</v>
      </c>
      <c r="D229" s="4" t="s">
        <v>110</v>
      </c>
      <c r="E229" s="17" t="s">
        <v>111</v>
      </c>
      <c r="F229" s="4" t="s">
        <v>106</v>
      </c>
      <c r="G229" s="11" t="n">
        <v>60</v>
      </c>
      <c r="H229" s="4" t="s">
        <v>119</v>
      </c>
      <c r="I229" s="11"/>
      <c r="J229" s="11" t="str">
        <f aca="false">IF(AND(ISNUMBER(G229),ISNUMBER(I229)),I229-G229,"")</f>
        <v/>
      </c>
      <c r="K229" s="10" t="n">
        <f aca="false">IF(H229="Réalisé",1,IF(H229="Partiel",0.5,IF(H229="Prévu","",0)))</f>
        <v>0</v>
      </c>
      <c r="L229" s="17"/>
      <c r="M229" s="17" t="s">
        <v>116</v>
      </c>
      <c r="N229" s="17" t="s">
        <v>109</v>
      </c>
    </row>
    <row r="230" customFormat="false" ht="15" hidden="false" customHeight="false" outlineLevel="0" collapsed="false">
      <c r="A230" s="4" t="n">
        <v>496</v>
      </c>
      <c r="B230" s="15" t="n">
        <v>46273</v>
      </c>
      <c r="C230" s="4" t="s">
        <v>27</v>
      </c>
      <c r="D230" s="4" t="s">
        <v>135</v>
      </c>
      <c r="E230" s="17" t="s">
        <v>136</v>
      </c>
      <c r="F230" s="4" t="s">
        <v>106</v>
      </c>
      <c r="G230" s="11" t="n">
        <v>45</v>
      </c>
      <c r="H230" s="4" t="s">
        <v>107</v>
      </c>
      <c r="I230" s="11"/>
      <c r="J230" s="11" t="str">
        <f aca="false">IF(AND(ISNUMBER(G230),ISNUMBER(I230)),I230-G230,"")</f>
        <v/>
      </c>
      <c r="K230" s="10" t="n">
        <f aca="false">IF(H230="Réalisé",1,IF(H230="Partiel",0.5,IF(H230="Prévu","",0)))</f>
        <v>0</v>
      </c>
      <c r="L230" s="17"/>
      <c r="M230" s="17" t="s">
        <v>152</v>
      </c>
      <c r="N230" s="17" t="s">
        <v>138</v>
      </c>
    </row>
    <row r="231" customFormat="false" ht="15" hidden="false" customHeight="false" outlineLevel="0" collapsed="false">
      <c r="A231" s="4" t="n">
        <v>497</v>
      </c>
      <c r="B231" s="15" t="n">
        <v>46273</v>
      </c>
      <c r="C231" s="4" t="s">
        <v>26</v>
      </c>
      <c r="D231" s="4" t="s">
        <v>142</v>
      </c>
      <c r="E231" s="17" t="s">
        <v>143</v>
      </c>
      <c r="F231" s="4" t="s">
        <v>106</v>
      </c>
      <c r="G231" s="11" t="n">
        <v>45</v>
      </c>
      <c r="H231" s="4" t="s">
        <v>107</v>
      </c>
      <c r="I231" s="11"/>
      <c r="J231" s="11" t="str">
        <f aca="false">IF(AND(ISNUMBER(G231),ISNUMBER(I231)),I231-G231,"")</f>
        <v/>
      </c>
      <c r="K231" s="10" t="n">
        <f aca="false">IF(H231="Réalisé",1,IF(H231="Partiel",0.5,IF(H231="Prévu","",0)))</f>
        <v>0</v>
      </c>
      <c r="L231" s="17"/>
      <c r="M231" s="17" t="s">
        <v>150</v>
      </c>
      <c r="N231" s="17"/>
    </row>
    <row r="232" customFormat="false" ht="23.85" hidden="false" customHeight="false" outlineLevel="0" collapsed="false">
      <c r="A232" s="4" t="n">
        <v>498</v>
      </c>
      <c r="B232" s="15" t="n">
        <v>46273</v>
      </c>
      <c r="C232" s="4" t="s">
        <v>26</v>
      </c>
      <c r="D232" s="4" t="s">
        <v>110</v>
      </c>
      <c r="E232" s="17" t="s">
        <v>111</v>
      </c>
      <c r="F232" s="4" t="s">
        <v>106</v>
      </c>
      <c r="G232" s="11" t="n">
        <v>60</v>
      </c>
      <c r="H232" s="4" t="s">
        <v>119</v>
      </c>
      <c r="I232" s="11"/>
      <c r="J232" s="11" t="str">
        <f aca="false">IF(AND(ISNUMBER(G232),ISNUMBER(I232)),I232-G232,"")</f>
        <v/>
      </c>
      <c r="K232" s="10" t="n">
        <f aca="false">IF(H232="Réalisé",1,IF(H232="Partiel",0.5,IF(H232="Prévu","",0)))</f>
        <v>0</v>
      </c>
      <c r="L232" s="17"/>
      <c r="M232" s="17" t="s">
        <v>116</v>
      </c>
      <c r="N232" s="17" t="s">
        <v>109</v>
      </c>
    </row>
    <row r="233" customFormat="false" ht="15" hidden="false" customHeight="false" outlineLevel="0" collapsed="false">
      <c r="A233" s="4" t="n">
        <v>499</v>
      </c>
      <c r="B233" s="15" t="n">
        <v>46276</v>
      </c>
      <c r="C233" s="4" t="s">
        <v>27</v>
      </c>
      <c r="D233" s="4" t="s">
        <v>135</v>
      </c>
      <c r="E233" s="17" t="s">
        <v>136</v>
      </c>
      <c r="F233" s="4" t="s">
        <v>106</v>
      </c>
      <c r="G233" s="11" t="n">
        <v>45</v>
      </c>
      <c r="H233" s="4" t="s">
        <v>113</v>
      </c>
      <c r="I233" s="11" t="n">
        <v>66</v>
      </c>
      <c r="J233" s="11" t="n">
        <f aca="false">IF(AND(ISNUMBER(G233),ISNUMBER(I233)),I233-G233,"")</f>
        <v>21</v>
      </c>
      <c r="K233" s="10" t="n">
        <f aca="false">IF(H233="Réalisé",1,IF(H233="Partiel",0.5,IF(H233="Prévu","",0)))</f>
        <v>1</v>
      </c>
      <c r="L233" s="17"/>
      <c r="M233" s="17"/>
      <c r="N233" s="17" t="s">
        <v>138</v>
      </c>
    </row>
    <row r="234" customFormat="false" ht="15" hidden="false" customHeight="false" outlineLevel="0" collapsed="false">
      <c r="A234" s="4" t="n">
        <v>500</v>
      </c>
      <c r="B234" s="15" t="n">
        <v>46276</v>
      </c>
      <c r="C234" s="4" t="s">
        <v>28</v>
      </c>
      <c r="D234" s="4" t="s">
        <v>114</v>
      </c>
      <c r="E234" s="17" t="s">
        <v>115</v>
      </c>
      <c r="F234" s="4" t="s">
        <v>106</v>
      </c>
      <c r="G234" s="11" t="n">
        <v>30</v>
      </c>
      <c r="H234" s="4" t="s">
        <v>113</v>
      </c>
      <c r="I234" s="11" t="n">
        <v>30</v>
      </c>
      <c r="J234" s="11" t="n">
        <f aca="false">IF(AND(ISNUMBER(G234),ISNUMBER(I234)),I234-G234,"")</f>
        <v>0</v>
      </c>
      <c r="K234" s="10" t="n">
        <f aca="false">IF(H234="Réalisé",1,IF(H234="Partiel",0.5,IF(H234="Prévu","",0)))</f>
        <v>1</v>
      </c>
      <c r="L234" s="17"/>
      <c r="M234" s="17"/>
      <c r="N234" s="17"/>
    </row>
    <row r="235" customFormat="false" ht="15" hidden="false" customHeight="false" outlineLevel="0" collapsed="false">
      <c r="A235" s="4" t="n">
        <v>501</v>
      </c>
      <c r="B235" s="15" t="n">
        <v>46276</v>
      </c>
      <c r="C235" s="4" t="s">
        <v>30</v>
      </c>
      <c r="D235" s="4" t="s">
        <v>120</v>
      </c>
      <c r="E235" s="17" t="s">
        <v>121</v>
      </c>
      <c r="F235" s="4" t="s">
        <v>106</v>
      </c>
      <c r="G235" s="11" t="n">
        <v>30</v>
      </c>
      <c r="H235" s="4" t="s">
        <v>123</v>
      </c>
      <c r="I235" s="11"/>
      <c r="J235" s="11" t="str">
        <f aca="false">IF(AND(ISNUMBER(G235),ISNUMBER(I235)),I235-G235,"")</f>
        <v/>
      </c>
      <c r="K235" s="10" t="n">
        <f aca="false">IF(H235="Réalisé",1,IF(H235="Partiel",0.5,IF(H235="Prévu","",0)))</f>
        <v>0</v>
      </c>
      <c r="L235" s="17"/>
      <c r="M235" s="17" t="s">
        <v>137</v>
      </c>
      <c r="N235" s="17"/>
    </row>
    <row r="236" customFormat="false" ht="15" hidden="false" customHeight="false" outlineLevel="0" collapsed="false">
      <c r="A236" s="4" t="n">
        <v>502</v>
      </c>
      <c r="B236" s="15" t="n">
        <v>46276</v>
      </c>
      <c r="C236" s="4" t="s">
        <v>27</v>
      </c>
      <c r="D236" s="4" t="s">
        <v>129</v>
      </c>
      <c r="E236" s="17" t="s">
        <v>130</v>
      </c>
      <c r="F236" s="4" t="s">
        <v>122</v>
      </c>
      <c r="G236" s="11" t="n">
        <v>60</v>
      </c>
      <c r="H236" s="4" t="s">
        <v>113</v>
      </c>
      <c r="I236" s="11" t="n">
        <v>111</v>
      </c>
      <c r="J236" s="11" t="n">
        <f aca="false">IF(AND(ISNUMBER(G236),ISNUMBER(I236)),I236-G236,"")</f>
        <v>51</v>
      </c>
      <c r="K236" s="10" t="n">
        <f aca="false">IF(H236="Réalisé",1,IF(H236="Partiel",0.5,IF(H236="Prévu","",0)))</f>
        <v>1</v>
      </c>
      <c r="L236" s="17"/>
      <c r="M236" s="17"/>
      <c r="N236" s="17"/>
    </row>
    <row r="237" customFormat="false" ht="15" hidden="false" customHeight="false" outlineLevel="0" collapsed="false">
      <c r="A237" s="4" t="n">
        <v>503</v>
      </c>
      <c r="B237" s="15" t="n">
        <v>46279</v>
      </c>
      <c r="C237" s="4" t="s">
        <v>29</v>
      </c>
      <c r="D237" s="4" t="s">
        <v>124</v>
      </c>
      <c r="E237" s="17" t="s">
        <v>125</v>
      </c>
      <c r="F237" s="4" t="s">
        <v>106</v>
      </c>
      <c r="G237" s="11" t="n">
        <v>20</v>
      </c>
      <c r="H237" s="4" t="s">
        <v>113</v>
      </c>
      <c r="I237" s="11" t="n">
        <v>20</v>
      </c>
      <c r="J237" s="11" t="n">
        <f aca="false">IF(AND(ISNUMBER(G237),ISNUMBER(I237)),I237-G237,"")</f>
        <v>0</v>
      </c>
      <c r="K237" s="10" t="n">
        <f aca="false">IF(H237="Réalisé",1,IF(H237="Partiel",0.5,IF(H237="Prévu","",0)))</f>
        <v>1</v>
      </c>
      <c r="L237" s="17"/>
      <c r="M237" s="17"/>
      <c r="N237" s="17"/>
    </row>
    <row r="238" customFormat="false" ht="23.85" hidden="false" customHeight="false" outlineLevel="0" collapsed="false">
      <c r="A238" s="4" t="n">
        <v>504</v>
      </c>
      <c r="B238" s="15" t="n">
        <v>46279</v>
      </c>
      <c r="C238" s="4" t="s">
        <v>26</v>
      </c>
      <c r="D238" s="4" t="s">
        <v>110</v>
      </c>
      <c r="E238" s="17" t="s">
        <v>111</v>
      </c>
      <c r="F238" s="4" t="s">
        <v>106</v>
      </c>
      <c r="G238" s="11" t="n">
        <v>60</v>
      </c>
      <c r="H238" s="4" t="s">
        <v>113</v>
      </c>
      <c r="I238" s="11" t="n">
        <v>77</v>
      </c>
      <c r="J238" s="11" t="n">
        <f aca="false">IF(AND(ISNUMBER(G238),ISNUMBER(I238)),I238-G238,"")</f>
        <v>17</v>
      </c>
      <c r="K238" s="10" t="n">
        <f aca="false">IF(H238="Réalisé",1,IF(H238="Partiel",0.5,IF(H238="Prévu","",0)))</f>
        <v>1</v>
      </c>
      <c r="L238" s="17"/>
      <c r="M238" s="17"/>
      <c r="N238" s="17" t="s">
        <v>109</v>
      </c>
    </row>
    <row r="239" customFormat="false" ht="15" hidden="false" customHeight="false" outlineLevel="0" collapsed="false">
      <c r="A239" s="4" t="n">
        <v>505</v>
      </c>
      <c r="B239" s="15" t="n">
        <v>46280</v>
      </c>
      <c r="C239" s="4" t="s">
        <v>25</v>
      </c>
      <c r="D239" s="4" t="s">
        <v>117</v>
      </c>
      <c r="E239" s="17" t="s">
        <v>118</v>
      </c>
      <c r="F239" s="4" t="s">
        <v>112</v>
      </c>
      <c r="G239" s="11" t="n">
        <v>40</v>
      </c>
      <c r="H239" s="4" t="s">
        <v>134</v>
      </c>
      <c r="I239" s="11" t="n">
        <v>20</v>
      </c>
      <c r="J239" s="11" t="n">
        <f aca="false">IF(AND(ISNUMBER(G239),ISNUMBER(I239)),I239-G239,"")</f>
        <v>-20</v>
      </c>
      <c r="K239" s="10" t="n">
        <f aca="false">IF(H239="Réalisé",1,IF(H239="Partiel",0.5,IF(H239="Prévu","",0)))</f>
        <v>0.5</v>
      </c>
      <c r="L239" s="17"/>
      <c r="M239" s="17"/>
      <c r="N239" s="17"/>
    </row>
    <row r="240" customFormat="false" ht="15" hidden="false" customHeight="false" outlineLevel="0" collapsed="false">
      <c r="A240" s="4" t="n">
        <v>506</v>
      </c>
      <c r="B240" s="15" t="n">
        <v>46280</v>
      </c>
      <c r="C240" s="4" t="s">
        <v>28</v>
      </c>
      <c r="D240" s="4" t="s">
        <v>114</v>
      </c>
      <c r="E240" s="17" t="s">
        <v>115</v>
      </c>
      <c r="F240" s="4" t="s">
        <v>106</v>
      </c>
      <c r="G240" s="11" t="n">
        <v>30</v>
      </c>
      <c r="H240" s="4" t="s">
        <v>119</v>
      </c>
      <c r="I240" s="11"/>
      <c r="J240" s="11" t="str">
        <f aca="false">IF(AND(ISNUMBER(G240),ISNUMBER(I240)),I240-G240,"")</f>
        <v/>
      </c>
      <c r="K240" s="10" t="n">
        <f aca="false">IF(H240="Réalisé",1,IF(H240="Partiel",0.5,IF(H240="Prévu","",0)))</f>
        <v>0</v>
      </c>
      <c r="L240" s="17"/>
      <c r="M240" s="17" t="s">
        <v>137</v>
      </c>
      <c r="N240" s="17"/>
    </row>
    <row r="241" customFormat="false" ht="15" hidden="false" customHeight="false" outlineLevel="0" collapsed="false">
      <c r="A241" s="4" t="n">
        <v>507</v>
      </c>
      <c r="B241" s="15" t="n">
        <v>46280</v>
      </c>
      <c r="C241" s="4" t="s">
        <v>24</v>
      </c>
      <c r="D241" s="4" t="s">
        <v>132</v>
      </c>
      <c r="E241" s="17" t="s">
        <v>133</v>
      </c>
      <c r="F241" s="4" t="s">
        <v>106</v>
      </c>
      <c r="G241" s="11" t="n">
        <v>15</v>
      </c>
      <c r="H241" s="4" t="s">
        <v>113</v>
      </c>
      <c r="I241" s="11" t="n">
        <v>12</v>
      </c>
      <c r="J241" s="11" t="n">
        <f aca="false">IF(AND(ISNUMBER(G241),ISNUMBER(I241)),I241-G241,"")</f>
        <v>-3</v>
      </c>
      <c r="K241" s="10" t="n">
        <f aca="false">IF(H241="Réalisé",1,IF(H241="Partiel",0.5,IF(H241="Prévu","",0)))</f>
        <v>1</v>
      </c>
      <c r="L241" s="17"/>
      <c r="M241" s="17"/>
      <c r="N241" s="17"/>
    </row>
    <row r="242" customFormat="false" ht="23.85" hidden="false" customHeight="false" outlineLevel="0" collapsed="false">
      <c r="A242" s="4" t="n">
        <v>508</v>
      </c>
      <c r="B242" s="15" t="n">
        <v>46280</v>
      </c>
      <c r="C242" s="4" t="s">
        <v>26</v>
      </c>
      <c r="D242" s="4" t="s">
        <v>104</v>
      </c>
      <c r="E242" s="17" t="s">
        <v>105</v>
      </c>
      <c r="F242" s="4" t="s">
        <v>106</v>
      </c>
      <c r="G242" s="11" t="n">
        <v>120</v>
      </c>
      <c r="H242" s="4" t="s">
        <v>119</v>
      </c>
      <c r="I242" s="11"/>
      <c r="J242" s="11" t="str">
        <f aca="false">IF(AND(ISNUMBER(G242),ISNUMBER(I242)),I242-G242,"")</f>
        <v/>
      </c>
      <c r="K242" s="10" t="n">
        <f aca="false">IF(H242="Réalisé",1,IF(H242="Partiel",0.5,IF(H242="Prévu","",0)))</f>
        <v>0</v>
      </c>
      <c r="L242" s="17"/>
      <c r="M242" s="17" t="s">
        <v>131</v>
      </c>
      <c r="N242" s="17" t="s">
        <v>109</v>
      </c>
    </row>
    <row r="243" customFormat="false" ht="15" hidden="false" customHeight="false" outlineLevel="0" collapsed="false">
      <c r="A243" s="4" t="n">
        <v>509</v>
      </c>
      <c r="B243" s="15" t="n">
        <v>46280</v>
      </c>
      <c r="C243" s="4" t="s">
        <v>26</v>
      </c>
      <c r="D243" s="4" t="s">
        <v>142</v>
      </c>
      <c r="E243" s="17" t="s">
        <v>143</v>
      </c>
      <c r="F243" s="4" t="s">
        <v>106</v>
      </c>
      <c r="G243" s="11" t="n">
        <v>45</v>
      </c>
      <c r="H243" s="4" t="s">
        <v>113</v>
      </c>
      <c r="I243" s="11" t="n">
        <v>68</v>
      </c>
      <c r="J243" s="11" t="n">
        <f aca="false">IF(AND(ISNUMBER(G243),ISNUMBER(I243)),I243-G243,"")</f>
        <v>23</v>
      </c>
      <c r="K243" s="10" t="n">
        <f aca="false">IF(H243="Réalisé",1,IF(H243="Partiel",0.5,IF(H243="Prévu","",0)))</f>
        <v>1</v>
      </c>
      <c r="L243" s="17"/>
      <c r="M243" s="17"/>
      <c r="N243" s="17"/>
    </row>
    <row r="244" customFormat="false" ht="23.85" hidden="false" customHeight="false" outlineLevel="0" collapsed="false">
      <c r="A244" s="4" t="n">
        <v>510</v>
      </c>
      <c r="B244" s="15" t="n">
        <v>46280</v>
      </c>
      <c r="C244" s="4" t="s">
        <v>26</v>
      </c>
      <c r="D244" s="4" t="s">
        <v>110</v>
      </c>
      <c r="E244" s="17" t="s">
        <v>111</v>
      </c>
      <c r="F244" s="4" t="s">
        <v>106</v>
      </c>
      <c r="G244" s="11" t="n">
        <v>60</v>
      </c>
      <c r="H244" s="4" t="s">
        <v>119</v>
      </c>
      <c r="I244" s="11"/>
      <c r="J244" s="11" t="str">
        <f aca="false">IF(AND(ISNUMBER(G244),ISNUMBER(I244)),I244-G244,"")</f>
        <v/>
      </c>
      <c r="K244" s="10" t="n">
        <f aca="false">IF(H244="Réalisé",1,IF(H244="Partiel",0.5,IF(H244="Prévu","",0)))</f>
        <v>0</v>
      </c>
      <c r="L244" s="17"/>
      <c r="M244" s="17" t="s">
        <v>137</v>
      </c>
      <c r="N244" s="17" t="s">
        <v>109</v>
      </c>
    </row>
    <row r="245" customFormat="false" ht="15" hidden="false" customHeight="false" outlineLevel="0" collapsed="false">
      <c r="A245" s="4" t="n">
        <v>511</v>
      </c>
      <c r="B245" s="15" t="n">
        <v>46280</v>
      </c>
      <c r="C245" s="4" t="s">
        <v>26</v>
      </c>
      <c r="D245" s="4" t="s">
        <v>140</v>
      </c>
      <c r="E245" s="17" t="s">
        <v>141</v>
      </c>
      <c r="F245" s="4" t="s">
        <v>106</v>
      </c>
      <c r="G245" s="11" t="n">
        <v>60</v>
      </c>
      <c r="H245" s="4" t="s">
        <v>113</v>
      </c>
      <c r="I245" s="11" t="n">
        <v>71</v>
      </c>
      <c r="J245" s="11" t="n">
        <f aca="false">IF(AND(ISNUMBER(G245),ISNUMBER(I245)),I245-G245,"")</f>
        <v>11</v>
      </c>
      <c r="K245" s="10" t="n">
        <f aca="false">IF(H245="Réalisé",1,IF(H245="Partiel",0.5,IF(H245="Prévu","",0)))</f>
        <v>1</v>
      </c>
      <c r="L245" s="17" t="s">
        <v>139</v>
      </c>
      <c r="M245" s="17"/>
      <c r="N245" s="17"/>
    </row>
    <row r="246" customFormat="false" ht="15" hidden="false" customHeight="false" outlineLevel="0" collapsed="false">
      <c r="A246" s="4" t="n">
        <v>512</v>
      </c>
      <c r="B246" s="15" t="n">
        <v>46281</v>
      </c>
      <c r="C246" s="4" t="s">
        <v>24</v>
      </c>
      <c r="D246" s="4" t="s">
        <v>126</v>
      </c>
      <c r="E246" s="17" t="s">
        <v>127</v>
      </c>
      <c r="F246" s="4" t="s">
        <v>106</v>
      </c>
      <c r="G246" s="11" t="n">
        <v>20</v>
      </c>
      <c r="H246" s="4" t="s">
        <v>134</v>
      </c>
      <c r="I246" s="11" t="n">
        <v>14</v>
      </c>
      <c r="J246" s="11" t="n">
        <f aca="false">IF(AND(ISNUMBER(G246),ISNUMBER(I246)),I246-G246,"")</f>
        <v>-6</v>
      </c>
      <c r="K246" s="10" t="n">
        <f aca="false">IF(H246="Réalisé",1,IF(H246="Partiel",0.5,IF(H246="Prévu","",0)))</f>
        <v>0.5</v>
      </c>
      <c r="L246" s="17"/>
      <c r="M246" s="17"/>
      <c r="N246" s="17" t="s">
        <v>128</v>
      </c>
    </row>
    <row r="247" customFormat="false" ht="15" hidden="false" customHeight="false" outlineLevel="0" collapsed="false">
      <c r="A247" s="4" t="n">
        <v>513</v>
      </c>
      <c r="B247" s="15" t="n">
        <v>46281</v>
      </c>
      <c r="C247" s="4" t="s">
        <v>26</v>
      </c>
      <c r="D247" s="4" t="s">
        <v>140</v>
      </c>
      <c r="E247" s="17" t="s">
        <v>141</v>
      </c>
      <c r="F247" s="4" t="s">
        <v>106</v>
      </c>
      <c r="G247" s="11" t="n">
        <v>60</v>
      </c>
      <c r="H247" s="4" t="s">
        <v>107</v>
      </c>
      <c r="I247" s="11"/>
      <c r="J247" s="11" t="str">
        <f aca="false">IF(AND(ISNUMBER(G247),ISNUMBER(I247)),I247-G247,"")</f>
        <v/>
      </c>
      <c r="K247" s="10" t="n">
        <f aca="false">IF(H247="Réalisé",1,IF(H247="Partiel",0.5,IF(H247="Prévu","",0)))</f>
        <v>0</v>
      </c>
      <c r="L247" s="17"/>
      <c r="M247" s="17" t="s">
        <v>131</v>
      </c>
      <c r="N247" s="17"/>
    </row>
    <row r="248" customFormat="false" ht="15" hidden="false" customHeight="false" outlineLevel="0" collapsed="false">
      <c r="A248" s="4" t="n">
        <v>514</v>
      </c>
      <c r="B248" s="15" t="n">
        <v>46281</v>
      </c>
      <c r="C248" s="4" t="s">
        <v>29</v>
      </c>
      <c r="D248" s="4" t="s">
        <v>124</v>
      </c>
      <c r="E248" s="17" t="s">
        <v>125</v>
      </c>
      <c r="F248" s="4" t="s">
        <v>122</v>
      </c>
      <c r="G248" s="11" t="n">
        <v>20</v>
      </c>
      <c r="H248" s="4" t="s">
        <v>134</v>
      </c>
      <c r="I248" s="11" t="n">
        <v>13</v>
      </c>
      <c r="J248" s="11" t="n">
        <f aca="false">IF(AND(ISNUMBER(G248),ISNUMBER(I248)),I248-G248,"")</f>
        <v>-7</v>
      </c>
      <c r="K248" s="10" t="n">
        <f aca="false">IF(H248="Réalisé",1,IF(H248="Partiel",0.5,IF(H248="Prévu","",0)))</f>
        <v>0.5</v>
      </c>
      <c r="L248" s="17"/>
      <c r="M248" s="17"/>
      <c r="N248" s="17"/>
    </row>
    <row r="249" customFormat="false" ht="23.85" hidden="false" customHeight="false" outlineLevel="0" collapsed="false">
      <c r="A249" s="4" t="n">
        <v>515</v>
      </c>
      <c r="B249" s="15" t="n">
        <v>46281</v>
      </c>
      <c r="C249" s="4" t="s">
        <v>26</v>
      </c>
      <c r="D249" s="4" t="s">
        <v>110</v>
      </c>
      <c r="E249" s="17" t="s">
        <v>111</v>
      </c>
      <c r="F249" s="4" t="s">
        <v>106</v>
      </c>
      <c r="G249" s="11" t="n">
        <v>60</v>
      </c>
      <c r="H249" s="4" t="s">
        <v>134</v>
      </c>
      <c r="I249" s="11" t="n">
        <v>36</v>
      </c>
      <c r="J249" s="11" t="n">
        <f aca="false">IF(AND(ISNUMBER(G249),ISNUMBER(I249)),I249-G249,"")</f>
        <v>-24</v>
      </c>
      <c r="K249" s="10" t="n">
        <f aca="false">IF(H249="Réalisé",1,IF(H249="Partiel",0.5,IF(H249="Prévu","",0)))</f>
        <v>0.5</v>
      </c>
      <c r="L249" s="17" t="s">
        <v>151</v>
      </c>
      <c r="M249" s="17"/>
      <c r="N249" s="17" t="s">
        <v>109</v>
      </c>
    </row>
    <row r="250" customFormat="false" ht="15" hidden="false" customHeight="false" outlineLevel="0" collapsed="false">
      <c r="A250" s="4" t="n">
        <v>516</v>
      </c>
      <c r="B250" s="15" t="n">
        <v>46282</v>
      </c>
      <c r="C250" s="4" t="s">
        <v>27</v>
      </c>
      <c r="D250" s="4" t="s">
        <v>135</v>
      </c>
      <c r="E250" s="17" t="s">
        <v>136</v>
      </c>
      <c r="F250" s="4" t="s">
        <v>106</v>
      </c>
      <c r="G250" s="11" t="n">
        <v>45</v>
      </c>
      <c r="H250" s="4" t="s">
        <v>119</v>
      </c>
      <c r="I250" s="11"/>
      <c r="J250" s="11" t="str">
        <f aca="false">IF(AND(ISNUMBER(G250),ISNUMBER(I250)),I250-G250,"")</f>
        <v/>
      </c>
      <c r="K250" s="10" t="n">
        <f aca="false">IF(H250="Réalisé",1,IF(H250="Partiel",0.5,IF(H250="Prévu","",0)))</f>
        <v>0</v>
      </c>
      <c r="L250" s="17"/>
      <c r="M250" s="17" t="s">
        <v>116</v>
      </c>
      <c r="N250" s="17" t="s">
        <v>138</v>
      </c>
    </row>
    <row r="251" customFormat="false" ht="23.85" hidden="false" customHeight="false" outlineLevel="0" collapsed="false">
      <c r="A251" s="4" t="n">
        <v>517</v>
      </c>
      <c r="B251" s="15" t="n">
        <v>46282</v>
      </c>
      <c r="C251" s="4" t="s">
        <v>26</v>
      </c>
      <c r="D251" s="4" t="s">
        <v>110</v>
      </c>
      <c r="E251" s="17" t="s">
        <v>111</v>
      </c>
      <c r="F251" s="4" t="s">
        <v>122</v>
      </c>
      <c r="G251" s="11" t="n">
        <v>60</v>
      </c>
      <c r="H251" s="4" t="s">
        <v>119</v>
      </c>
      <c r="I251" s="11"/>
      <c r="J251" s="11" t="str">
        <f aca="false">IF(AND(ISNUMBER(G251),ISNUMBER(I251)),I251-G251,"")</f>
        <v/>
      </c>
      <c r="K251" s="10" t="n">
        <f aca="false">IF(H251="Réalisé",1,IF(H251="Partiel",0.5,IF(H251="Prévu","",0)))</f>
        <v>0</v>
      </c>
      <c r="L251" s="17"/>
      <c r="M251" s="17" t="s">
        <v>150</v>
      </c>
      <c r="N251" s="17" t="s">
        <v>109</v>
      </c>
    </row>
    <row r="252" customFormat="false" ht="15" hidden="false" customHeight="false" outlineLevel="0" collapsed="false">
      <c r="A252" s="4" t="n">
        <v>518</v>
      </c>
      <c r="B252" s="15" t="n">
        <v>46283</v>
      </c>
      <c r="C252" s="4" t="s">
        <v>28</v>
      </c>
      <c r="D252" s="4" t="s">
        <v>114</v>
      </c>
      <c r="E252" s="17" t="s">
        <v>115</v>
      </c>
      <c r="F252" s="4" t="s">
        <v>112</v>
      </c>
      <c r="G252" s="11" t="n">
        <v>30</v>
      </c>
      <c r="H252" s="4" t="s">
        <v>134</v>
      </c>
      <c r="I252" s="11" t="n">
        <v>18</v>
      </c>
      <c r="J252" s="11" t="n">
        <f aca="false">IF(AND(ISNUMBER(G252),ISNUMBER(I252)),I252-G252,"")</f>
        <v>-12</v>
      </c>
      <c r="K252" s="10" t="n">
        <f aca="false">IF(H252="Réalisé",1,IF(H252="Partiel",0.5,IF(H252="Prévu","",0)))</f>
        <v>0.5</v>
      </c>
      <c r="L252" s="17"/>
      <c r="M252" s="17"/>
      <c r="N252" s="17"/>
    </row>
    <row r="253" customFormat="false" ht="15" hidden="false" customHeight="false" outlineLevel="0" collapsed="false">
      <c r="A253" s="4" t="n">
        <v>519</v>
      </c>
      <c r="B253" s="15" t="n">
        <v>46283</v>
      </c>
      <c r="C253" s="4" t="s">
        <v>25</v>
      </c>
      <c r="D253" s="4" t="s">
        <v>147</v>
      </c>
      <c r="E253" s="17" t="s">
        <v>148</v>
      </c>
      <c r="F253" s="4" t="s">
        <v>106</v>
      </c>
      <c r="G253" s="11" t="n">
        <v>30</v>
      </c>
      <c r="H253" s="4" t="s">
        <v>107</v>
      </c>
      <c r="I253" s="11"/>
      <c r="J253" s="11" t="str">
        <f aca="false">IF(AND(ISNUMBER(G253),ISNUMBER(I253)),I253-G253,"")</f>
        <v/>
      </c>
      <c r="K253" s="10" t="n">
        <f aca="false">IF(H253="Réalisé",1,IF(H253="Partiel",0.5,IF(H253="Prévu","",0)))</f>
        <v>0</v>
      </c>
      <c r="L253" s="17"/>
      <c r="M253" s="17" t="s">
        <v>152</v>
      </c>
      <c r="N253" s="17" t="s">
        <v>149</v>
      </c>
    </row>
    <row r="254" customFormat="false" ht="15" hidden="false" customHeight="false" outlineLevel="0" collapsed="false">
      <c r="A254" s="4" t="n">
        <v>520</v>
      </c>
      <c r="B254" s="15" t="n">
        <v>46283</v>
      </c>
      <c r="C254" s="4" t="s">
        <v>29</v>
      </c>
      <c r="D254" s="4" t="s">
        <v>124</v>
      </c>
      <c r="E254" s="17" t="s">
        <v>125</v>
      </c>
      <c r="F254" s="4" t="s">
        <v>122</v>
      </c>
      <c r="G254" s="11" t="n">
        <v>20</v>
      </c>
      <c r="H254" s="4" t="s">
        <v>123</v>
      </c>
      <c r="I254" s="11"/>
      <c r="J254" s="11" t="str">
        <f aca="false">IF(AND(ISNUMBER(G254),ISNUMBER(I254)),I254-G254,"")</f>
        <v/>
      </c>
      <c r="K254" s="10" t="n">
        <f aca="false">IF(H254="Réalisé",1,IF(H254="Partiel",0.5,IF(H254="Prévu","",0)))</f>
        <v>0</v>
      </c>
      <c r="L254" s="17"/>
      <c r="M254" s="17" t="s">
        <v>116</v>
      </c>
      <c r="N254" s="17"/>
    </row>
    <row r="255" customFormat="false" ht="15" hidden="false" customHeight="false" outlineLevel="0" collapsed="false">
      <c r="A255" s="4" t="n">
        <v>521</v>
      </c>
      <c r="B255" s="15" t="n">
        <v>46283</v>
      </c>
      <c r="C255" s="4" t="s">
        <v>27</v>
      </c>
      <c r="D255" s="4" t="s">
        <v>129</v>
      </c>
      <c r="E255" s="17" t="s">
        <v>130</v>
      </c>
      <c r="F255" s="4" t="s">
        <v>106</v>
      </c>
      <c r="G255" s="11" t="n">
        <v>60</v>
      </c>
      <c r="H255" s="4" t="s">
        <v>113</v>
      </c>
      <c r="I255" s="11" t="n">
        <v>49</v>
      </c>
      <c r="J255" s="11" t="n">
        <f aca="false">IF(AND(ISNUMBER(G255),ISNUMBER(I255)),I255-G255,"")</f>
        <v>-11</v>
      </c>
      <c r="K255" s="10" t="n">
        <f aca="false">IF(H255="Réalisé",1,IF(H255="Partiel",0.5,IF(H255="Prévu","",0)))</f>
        <v>1</v>
      </c>
      <c r="L255" s="17"/>
      <c r="M255" s="17"/>
      <c r="N255" s="17"/>
    </row>
    <row r="256" customFormat="false" ht="23.85" hidden="false" customHeight="false" outlineLevel="0" collapsed="false">
      <c r="A256" s="4" t="n">
        <v>522</v>
      </c>
      <c r="B256" s="15" t="n">
        <v>46283</v>
      </c>
      <c r="C256" s="4" t="s">
        <v>26</v>
      </c>
      <c r="D256" s="4" t="s">
        <v>110</v>
      </c>
      <c r="E256" s="17" t="s">
        <v>111</v>
      </c>
      <c r="F256" s="4" t="s">
        <v>106</v>
      </c>
      <c r="G256" s="11" t="n">
        <v>60</v>
      </c>
      <c r="H256" s="4" t="s">
        <v>119</v>
      </c>
      <c r="I256" s="11"/>
      <c r="J256" s="11" t="str">
        <f aca="false">IF(AND(ISNUMBER(G256),ISNUMBER(I256)),I256-G256,"")</f>
        <v/>
      </c>
      <c r="K256" s="10" t="n">
        <f aca="false">IF(H256="Réalisé",1,IF(H256="Partiel",0.5,IF(H256="Prévu","",0)))</f>
        <v>0</v>
      </c>
      <c r="L256" s="17"/>
      <c r="M256" s="17" t="s">
        <v>116</v>
      </c>
      <c r="N256" s="17" t="s">
        <v>109</v>
      </c>
    </row>
    <row r="257" customFormat="false" ht="23.85" hidden="false" customHeight="false" outlineLevel="0" collapsed="false">
      <c r="A257" s="4" t="n">
        <v>523</v>
      </c>
      <c r="B257" s="15" t="n">
        <v>46284</v>
      </c>
      <c r="C257" s="4" t="s">
        <v>26</v>
      </c>
      <c r="D257" s="4" t="s">
        <v>104</v>
      </c>
      <c r="E257" s="17" t="s">
        <v>105</v>
      </c>
      <c r="F257" s="4" t="s">
        <v>106</v>
      </c>
      <c r="G257" s="11" t="n">
        <v>120</v>
      </c>
      <c r="H257" s="4" t="s">
        <v>119</v>
      </c>
      <c r="I257" s="11"/>
      <c r="J257" s="11" t="str">
        <f aca="false">IF(AND(ISNUMBER(G257),ISNUMBER(I257)),I257-G257,"")</f>
        <v/>
      </c>
      <c r="K257" s="10" t="n">
        <f aca="false">IF(H257="Réalisé",1,IF(H257="Partiel",0.5,IF(H257="Prévu","",0)))</f>
        <v>0</v>
      </c>
      <c r="L257" s="17"/>
      <c r="M257" s="17" t="s">
        <v>116</v>
      </c>
      <c r="N257" s="17" t="s">
        <v>109</v>
      </c>
    </row>
    <row r="258" customFormat="false" ht="23.85" hidden="false" customHeight="false" outlineLevel="0" collapsed="false">
      <c r="A258" s="4" t="n">
        <v>524</v>
      </c>
      <c r="B258" s="15" t="n">
        <v>46284</v>
      </c>
      <c r="C258" s="4" t="s">
        <v>26</v>
      </c>
      <c r="D258" s="4" t="s">
        <v>110</v>
      </c>
      <c r="E258" s="17" t="s">
        <v>111</v>
      </c>
      <c r="F258" s="4" t="s">
        <v>122</v>
      </c>
      <c r="G258" s="11" t="n">
        <v>60</v>
      </c>
      <c r="H258" s="4" t="s">
        <v>107</v>
      </c>
      <c r="I258" s="11"/>
      <c r="J258" s="11" t="str">
        <f aca="false">IF(AND(ISNUMBER(G258),ISNUMBER(I258)),I258-G258,"")</f>
        <v/>
      </c>
      <c r="K258" s="10" t="n">
        <f aca="false">IF(H258="Réalisé",1,IF(H258="Partiel",0.5,IF(H258="Prévu","",0)))</f>
        <v>0</v>
      </c>
      <c r="L258" s="17"/>
      <c r="M258" s="17" t="s">
        <v>137</v>
      </c>
      <c r="N258" s="17" t="s">
        <v>109</v>
      </c>
    </row>
    <row r="259" customFormat="false" ht="15" hidden="false" customHeight="false" outlineLevel="0" collapsed="false">
      <c r="A259" s="4" t="n">
        <v>525</v>
      </c>
      <c r="B259" s="15" t="n">
        <v>46285</v>
      </c>
      <c r="C259" s="4" t="s">
        <v>24</v>
      </c>
      <c r="D259" s="4" t="s">
        <v>126</v>
      </c>
      <c r="E259" s="17" t="s">
        <v>127</v>
      </c>
      <c r="F259" s="4" t="s">
        <v>112</v>
      </c>
      <c r="G259" s="11" t="n">
        <v>20</v>
      </c>
      <c r="H259" s="4" t="s">
        <v>113</v>
      </c>
      <c r="I259" s="11" t="n">
        <v>16</v>
      </c>
      <c r="J259" s="11" t="n">
        <f aca="false">IF(AND(ISNUMBER(G259),ISNUMBER(I259)),I259-G259,"")</f>
        <v>-4</v>
      </c>
      <c r="K259" s="10" t="n">
        <f aca="false">IF(H259="Réalisé",1,IF(H259="Partiel",0.5,IF(H259="Prévu","",0)))</f>
        <v>1</v>
      </c>
      <c r="L259" s="17"/>
      <c r="M259" s="17"/>
      <c r="N259" s="17" t="s">
        <v>128</v>
      </c>
    </row>
    <row r="260" customFormat="false" ht="15" hidden="false" customHeight="false" outlineLevel="0" collapsed="false">
      <c r="A260" s="4" t="n">
        <v>526</v>
      </c>
      <c r="B260" s="15" t="n">
        <v>46285</v>
      </c>
      <c r="C260" s="4" t="s">
        <v>25</v>
      </c>
      <c r="D260" s="4" t="s">
        <v>117</v>
      </c>
      <c r="E260" s="17" t="s">
        <v>118</v>
      </c>
      <c r="F260" s="4" t="s">
        <v>106</v>
      </c>
      <c r="G260" s="11" t="n">
        <v>40</v>
      </c>
      <c r="H260" s="4" t="s">
        <v>134</v>
      </c>
      <c r="I260" s="11" t="n">
        <v>19</v>
      </c>
      <c r="J260" s="11" t="n">
        <f aca="false">IF(AND(ISNUMBER(G260),ISNUMBER(I260)),I260-G260,"")</f>
        <v>-21</v>
      </c>
      <c r="K260" s="10" t="n">
        <f aca="false">IF(H260="Réalisé",1,IF(H260="Partiel",0.5,IF(H260="Prévu","",0)))</f>
        <v>0.5</v>
      </c>
      <c r="L260" s="17"/>
      <c r="M260" s="17"/>
      <c r="N260" s="17"/>
    </row>
    <row r="261" customFormat="false" ht="15" hidden="false" customHeight="false" outlineLevel="0" collapsed="false">
      <c r="A261" s="4" t="n">
        <v>527</v>
      </c>
      <c r="B261" s="15" t="n">
        <v>46285</v>
      </c>
      <c r="C261" s="4" t="s">
        <v>27</v>
      </c>
      <c r="D261" s="4" t="s">
        <v>135</v>
      </c>
      <c r="E261" s="17" t="s">
        <v>136</v>
      </c>
      <c r="F261" s="4" t="s">
        <v>106</v>
      </c>
      <c r="G261" s="11" t="n">
        <v>45</v>
      </c>
      <c r="H261" s="4" t="s">
        <v>107</v>
      </c>
      <c r="I261" s="11"/>
      <c r="J261" s="11" t="str">
        <f aca="false">IF(AND(ISNUMBER(G261),ISNUMBER(I261)),I261-G261,"")</f>
        <v/>
      </c>
      <c r="K261" s="10" t="n">
        <f aca="false">IF(H261="Réalisé",1,IF(H261="Partiel",0.5,IF(H261="Prévu","",0)))</f>
        <v>0</v>
      </c>
      <c r="L261" s="17"/>
      <c r="M261" s="17" t="s">
        <v>116</v>
      </c>
      <c r="N261" s="17" t="s">
        <v>138</v>
      </c>
    </row>
    <row r="262" customFormat="false" ht="15" hidden="false" customHeight="false" outlineLevel="0" collapsed="false">
      <c r="A262" s="4" t="n">
        <v>528</v>
      </c>
      <c r="B262" s="15" t="n">
        <v>46285</v>
      </c>
      <c r="C262" s="4" t="s">
        <v>29</v>
      </c>
      <c r="D262" s="4" t="s">
        <v>124</v>
      </c>
      <c r="E262" s="17" t="s">
        <v>125</v>
      </c>
      <c r="F262" s="4" t="s">
        <v>112</v>
      </c>
      <c r="G262" s="11" t="n">
        <v>20</v>
      </c>
      <c r="H262" s="4" t="s">
        <v>113</v>
      </c>
      <c r="I262" s="11" t="n">
        <v>31</v>
      </c>
      <c r="J262" s="11" t="n">
        <f aca="false">IF(AND(ISNUMBER(G262),ISNUMBER(I262)),I262-G262,"")</f>
        <v>11</v>
      </c>
      <c r="K262" s="10" t="n">
        <f aca="false">IF(H262="Réalisé",1,IF(H262="Partiel",0.5,IF(H262="Prévu","",0)))</f>
        <v>1</v>
      </c>
      <c r="L262" s="17"/>
      <c r="M262" s="17"/>
      <c r="N262" s="17"/>
    </row>
    <row r="263" customFormat="false" ht="15" hidden="false" customHeight="false" outlineLevel="0" collapsed="false">
      <c r="A263" s="4" t="n">
        <v>529</v>
      </c>
      <c r="B263" s="15" t="n">
        <v>46285</v>
      </c>
      <c r="C263" s="4" t="s">
        <v>26</v>
      </c>
      <c r="D263" s="4" t="s">
        <v>142</v>
      </c>
      <c r="E263" s="17" t="s">
        <v>143</v>
      </c>
      <c r="F263" s="4" t="s">
        <v>122</v>
      </c>
      <c r="G263" s="11" t="n">
        <v>45</v>
      </c>
      <c r="H263" s="4" t="s">
        <v>107</v>
      </c>
      <c r="I263" s="11"/>
      <c r="J263" s="11" t="str">
        <f aca="false">IF(AND(ISNUMBER(G263),ISNUMBER(I263)),I263-G263,"")</f>
        <v/>
      </c>
      <c r="K263" s="10" t="n">
        <f aca="false">IF(H263="Réalisé",1,IF(H263="Partiel",0.5,IF(H263="Prévu","",0)))</f>
        <v>0</v>
      </c>
      <c r="L263" s="17"/>
      <c r="M263" s="17" t="s">
        <v>116</v>
      </c>
      <c r="N263" s="17"/>
    </row>
    <row r="264" customFormat="false" ht="23.85" hidden="false" customHeight="false" outlineLevel="0" collapsed="false">
      <c r="A264" s="4" t="n">
        <v>530</v>
      </c>
      <c r="B264" s="15" t="n">
        <v>46285</v>
      </c>
      <c r="C264" s="4" t="s">
        <v>26</v>
      </c>
      <c r="D264" s="4" t="s">
        <v>110</v>
      </c>
      <c r="E264" s="17" t="s">
        <v>111</v>
      </c>
      <c r="F264" s="4" t="s">
        <v>106</v>
      </c>
      <c r="G264" s="11" t="n">
        <v>60</v>
      </c>
      <c r="H264" s="4" t="s">
        <v>119</v>
      </c>
      <c r="I264" s="11"/>
      <c r="J264" s="11" t="str">
        <f aca="false">IF(AND(ISNUMBER(G264),ISNUMBER(I264)),I264-G264,"")</f>
        <v/>
      </c>
      <c r="K264" s="10" t="n">
        <f aca="false">IF(H264="Réalisé",1,IF(H264="Partiel",0.5,IF(H264="Prévu","",0)))</f>
        <v>0</v>
      </c>
      <c r="L264" s="17"/>
      <c r="M264" s="17" t="s">
        <v>150</v>
      </c>
      <c r="N264" s="17" t="s">
        <v>109</v>
      </c>
    </row>
    <row r="265" customFormat="false" ht="15" hidden="false" customHeight="false" outlineLevel="0" collapsed="false">
      <c r="A265" s="4" t="n">
        <v>531</v>
      </c>
      <c r="B265" s="15" t="n">
        <v>46286</v>
      </c>
      <c r="C265" s="4" t="s">
        <v>27</v>
      </c>
      <c r="D265" s="4" t="s">
        <v>135</v>
      </c>
      <c r="E265" s="17" t="s">
        <v>136</v>
      </c>
      <c r="F265" s="4" t="s">
        <v>106</v>
      </c>
      <c r="G265" s="11" t="n">
        <v>45</v>
      </c>
      <c r="H265" s="4" t="s">
        <v>113</v>
      </c>
      <c r="I265" s="11" t="n">
        <v>54</v>
      </c>
      <c r="J265" s="11" t="n">
        <f aca="false">IF(AND(ISNUMBER(G265),ISNUMBER(I265)),I265-G265,"")</f>
        <v>9</v>
      </c>
      <c r="K265" s="10" t="n">
        <f aca="false">IF(H265="Réalisé",1,IF(H265="Partiel",0.5,IF(H265="Prévu","",0)))</f>
        <v>1</v>
      </c>
      <c r="L265" s="17"/>
      <c r="M265" s="17"/>
      <c r="N265" s="17" t="s">
        <v>138</v>
      </c>
    </row>
    <row r="266" customFormat="false" ht="15" hidden="false" customHeight="false" outlineLevel="0" collapsed="false">
      <c r="A266" s="4" t="n">
        <v>532</v>
      </c>
      <c r="B266" s="15" t="n">
        <v>46286</v>
      </c>
      <c r="C266" s="4" t="s">
        <v>26</v>
      </c>
      <c r="D266" s="4" t="s">
        <v>142</v>
      </c>
      <c r="E266" s="17" t="s">
        <v>143</v>
      </c>
      <c r="F266" s="4" t="s">
        <v>122</v>
      </c>
      <c r="G266" s="11" t="n">
        <v>45</v>
      </c>
      <c r="H266" s="4" t="s">
        <v>113</v>
      </c>
      <c r="I266" s="11" t="n">
        <v>62</v>
      </c>
      <c r="J266" s="11" t="n">
        <f aca="false">IF(AND(ISNUMBER(G266),ISNUMBER(I266)),I266-G266,"")</f>
        <v>17</v>
      </c>
      <c r="K266" s="10" t="n">
        <f aca="false">IF(H266="Réalisé",1,IF(H266="Partiel",0.5,IF(H266="Prévu","",0)))</f>
        <v>1</v>
      </c>
      <c r="L266" s="17"/>
      <c r="M266" s="17"/>
      <c r="N266" s="17"/>
    </row>
    <row r="267" customFormat="false" ht="15" hidden="false" customHeight="false" outlineLevel="0" collapsed="false">
      <c r="A267" s="4" t="n">
        <v>533</v>
      </c>
      <c r="B267" s="15" t="n">
        <v>46286</v>
      </c>
      <c r="C267" s="4" t="s">
        <v>24</v>
      </c>
      <c r="D267" s="4" t="s">
        <v>126</v>
      </c>
      <c r="E267" s="17" t="s">
        <v>127</v>
      </c>
      <c r="F267" s="4" t="s">
        <v>122</v>
      </c>
      <c r="G267" s="11" t="n">
        <v>20</v>
      </c>
      <c r="H267" s="4" t="s">
        <v>113</v>
      </c>
      <c r="I267" s="11" t="n">
        <v>21</v>
      </c>
      <c r="J267" s="11" t="n">
        <f aca="false">IF(AND(ISNUMBER(G267),ISNUMBER(I267)),I267-G267,"")</f>
        <v>1</v>
      </c>
      <c r="K267" s="10" t="n">
        <f aca="false">IF(H267="Réalisé",1,IF(H267="Partiel",0.5,IF(H267="Prévu","",0)))</f>
        <v>1</v>
      </c>
      <c r="L267" s="17"/>
      <c r="M267" s="17"/>
      <c r="N267" s="17" t="s">
        <v>128</v>
      </c>
    </row>
    <row r="268" customFormat="false" ht="15" hidden="false" customHeight="false" outlineLevel="0" collapsed="false">
      <c r="A268" s="4" t="n">
        <v>534</v>
      </c>
      <c r="B268" s="15" t="n">
        <v>46286</v>
      </c>
      <c r="C268" s="4" t="s">
        <v>25</v>
      </c>
      <c r="D268" s="4" t="s">
        <v>147</v>
      </c>
      <c r="E268" s="17" t="s">
        <v>148</v>
      </c>
      <c r="F268" s="4" t="s">
        <v>112</v>
      </c>
      <c r="G268" s="11" t="n">
        <v>30</v>
      </c>
      <c r="H268" s="4" t="s">
        <v>119</v>
      </c>
      <c r="I268" s="11"/>
      <c r="J268" s="11" t="str">
        <f aca="false">IF(AND(ISNUMBER(G268),ISNUMBER(I268)),I268-G268,"")</f>
        <v/>
      </c>
      <c r="K268" s="10" t="n">
        <f aca="false">IF(H268="Réalisé",1,IF(H268="Partiel",0.5,IF(H268="Prévu","",0)))</f>
        <v>0</v>
      </c>
      <c r="L268" s="17"/>
      <c r="M268" s="17" t="s">
        <v>131</v>
      </c>
      <c r="N268" s="17" t="s">
        <v>149</v>
      </c>
    </row>
    <row r="269" customFormat="false" ht="23.85" hidden="false" customHeight="false" outlineLevel="0" collapsed="false">
      <c r="A269" s="4" t="n">
        <v>535</v>
      </c>
      <c r="B269" s="15" t="n">
        <v>46286</v>
      </c>
      <c r="C269" s="4" t="s">
        <v>26</v>
      </c>
      <c r="D269" s="4" t="s">
        <v>110</v>
      </c>
      <c r="E269" s="17" t="s">
        <v>111</v>
      </c>
      <c r="F269" s="4" t="s">
        <v>106</v>
      </c>
      <c r="G269" s="11" t="n">
        <v>60</v>
      </c>
      <c r="H269" s="4" t="s">
        <v>119</v>
      </c>
      <c r="I269" s="11"/>
      <c r="J269" s="11" t="str">
        <f aca="false">IF(AND(ISNUMBER(G269),ISNUMBER(I269)),I269-G269,"")</f>
        <v/>
      </c>
      <c r="K269" s="10" t="n">
        <f aca="false">IF(H269="Réalisé",1,IF(H269="Partiel",0.5,IF(H269="Prévu","",0)))</f>
        <v>0</v>
      </c>
      <c r="L269" s="17"/>
      <c r="M269" s="17" t="s">
        <v>116</v>
      </c>
      <c r="N269" s="17" t="s">
        <v>109</v>
      </c>
    </row>
    <row r="270" customFormat="false" ht="15" hidden="false" customHeight="false" outlineLevel="0" collapsed="false">
      <c r="A270" s="4" t="n">
        <v>536</v>
      </c>
      <c r="B270" s="15" t="n">
        <v>46287</v>
      </c>
      <c r="C270" s="4" t="s">
        <v>25</v>
      </c>
      <c r="D270" s="4" t="s">
        <v>147</v>
      </c>
      <c r="E270" s="17" t="s">
        <v>148</v>
      </c>
      <c r="F270" s="4" t="s">
        <v>106</v>
      </c>
      <c r="G270" s="11" t="n">
        <v>30</v>
      </c>
      <c r="H270" s="4" t="s">
        <v>107</v>
      </c>
      <c r="I270" s="11"/>
      <c r="J270" s="11" t="str">
        <f aca="false">IF(AND(ISNUMBER(G270),ISNUMBER(I270)),I270-G270,"")</f>
        <v/>
      </c>
      <c r="K270" s="10" t="n">
        <f aca="false">IF(H270="Réalisé",1,IF(H270="Partiel",0.5,IF(H270="Prévu","",0)))</f>
        <v>0</v>
      </c>
      <c r="L270" s="17"/>
      <c r="M270" s="17" t="s">
        <v>137</v>
      </c>
      <c r="N270" s="17" t="s">
        <v>149</v>
      </c>
    </row>
    <row r="271" customFormat="false" ht="15" hidden="false" customHeight="false" outlineLevel="0" collapsed="false">
      <c r="A271" s="4" t="n">
        <v>537</v>
      </c>
      <c r="B271" s="15" t="n">
        <v>46287</v>
      </c>
      <c r="C271" s="4" t="s">
        <v>26</v>
      </c>
      <c r="D271" s="4" t="s">
        <v>140</v>
      </c>
      <c r="E271" s="17" t="s">
        <v>141</v>
      </c>
      <c r="F271" s="4" t="s">
        <v>112</v>
      </c>
      <c r="G271" s="11" t="n">
        <v>60</v>
      </c>
      <c r="H271" s="4" t="s">
        <v>119</v>
      </c>
      <c r="I271" s="11"/>
      <c r="J271" s="11" t="str">
        <f aca="false">IF(AND(ISNUMBER(G271),ISNUMBER(I271)),I271-G271,"")</f>
        <v/>
      </c>
      <c r="K271" s="10" t="n">
        <f aca="false">IF(H271="Réalisé",1,IF(H271="Partiel",0.5,IF(H271="Prévu","",0)))</f>
        <v>0</v>
      </c>
      <c r="L271" s="17"/>
      <c r="M271" s="17" t="s">
        <v>152</v>
      </c>
      <c r="N271" s="17"/>
    </row>
    <row r="272" customFormat="false" ht="15" hidden="false" customHeight="false" outlineLevel="0" collapsed="false">
      <c r="A272" s="4" t="n">
        <v>538</v>
      </c>
      <c r="B272" s="15" t="n">
        <v>46287</v>
      </c>
      <c r="C272" s="4" t="s">
        <v>27</v>
      </c>
      <c r="D272" s="4" t="s">
        <v>129</v>
      </c>
      <c r="E272" s="17" t="s">
        <v>130</v>
      </c>
      <c r="F272" s="4" t="s">
        <v>122</v>
      </c>
      <c r="G272" s="11" t="n">
        <v>60</v>
      </c>
      <c r="H272" s="4" t="s">
        <v>113</v>
      </c>
      <c r="I272" s="11" t="n">
        <v>85</v>
      </c>
      <c r="J272" s="11" t="n">
        <f aca="false">IF(AND(ISNUMBER(G272),ISNUMBER(I272)),I272-G272,"")</f>
        <v>25</v>
      </c>
      <c r="K272" s="10" t="n">
        <f aca="false">IF(H272="Réalisé",1,IF(H272="Partiel",0.5,IF(H272="Prévu","",0)))</f>
        <v>1</v>
      </c>
      <c r="L272" s="17"/>
      <c r="M272" s="17"/>
      <c r="N272" s="17"/>
    </row>
    <row r="273" customFormat="false" ht="23.85" hidden="false" customHeight="false" outlineLevel="0" collapsed="false">
      <c r="A273" s="4" t="n">
        <v>539</v>
      </c>
      <c r="B273" s="15" t="n">
        <v>46287</v>
      </c>
      <c r="C273" s="4" t="s">
        <v>26</v>
      </c>
      <c r="D273" s="4" t="s">
        <v>110</v>
      </c>
      <c r="E273" s="17" t="s">
        <v>111</v>
      </c>
      <c r="F273" s="4" t="s">
        <v>106</v>
      </c>
      <c r="G273" s="11" t="n">
        <v>60</v>
      </c>
      <c r="H273" s="4" t="s">
        <v>119</v>
      </c>
      <c r="I273" s="11"/>
      <c r="J273" s="11" t="str">
        <f aca="false">IF(AND(ISNUMBER(G273),ISNUMBER(I273)),I273-G273,"")</f>
        <v/>
      </c>
      <c r="K273" s="10" t="n">
        <f aca="false">IF(H273="Réalisé",1,IF(H273="Partiel",0.5,IF(H273="Prévu","",0)))</f>
        <v>0</v>
      </c>
      <c r="L273" s="17"/>
      <c r="M273" s="17" t="s">
        <v>116</v>
      </c>
      <c r="N273" s="17" t="s">
        <v>109</v>
      </c>
    </row>
    <row r="274" customFormat="false" ht="15" hidden="false" customHeight="false" outlineLevel="0" collapsed="false">
      <c r="A274" s="4" t="n">
        <v>540</v>
      </c>
      <c r="B274" s="15" t="n">
        <v>46287</v>
      </c>
      <c r="C274" s="4" t="s">
        <v>24</v>
      </c>
      <c r="D274" s="4" t="s">
        <v>126</v>
      </c>
      <c r="E274" s="17" t="s">
        <v>127</v>
      </c>
      <c r="F274" s="4" t="s">
        <v>112</v>
      </c>
      <c r="G274" s="11" t="n">
        <v>20</v>
      </c>
      <c r="H274" s="4" t="s">
        <v>113</v>
      </c>
      <c r="I274" s="11" t="n">
        <v>21</v>
      </c>
      <c r="J274" s="11" t="n">
        <f aca="false">IF(AND(ISNUMBER(G274),ISNUMBER(I274)),I274-G274,"")</f>
        <v>1</v>
      </c>
      <c r="K274" s="10" t="n">
        <f aca="false">IF(H274="Réalisé",1,IF(H274="Partiel",0.5,IF(H274="Prévu","",0)))</f>
        <v>1</v>
      </c>
      <c r="L274" s="17"/>
      <c r="M274" s="17"/>
      <c r="N274" s="17" t="s">
        <v>128</v>
      </c>
    </row>
    <row r="275" customFormat="false" ht="15" hidden="false" customHeight="false" outlineLevel="0" collapsed="false">
      <c r="A275" s="4" t="n">
        <v>541</v>
      </c>
      <c r="B275" s="15" t="n">
        <v>46287</v>
      </c>
      <c r="C275" s="4" t="s">
        <v>24</v>
      </c>
      <c r="D275" s="4" t="s">
        <v>132</v>
      </c>
      <c r="E275" s="17" t="s">
        <v>133</v>
      </c>
      <c r="F275" s="4" t="s">
        <v>106</v>
      </c>
      <c r="G275" s="11" t="n">
        <v>15</v>
      </c>
      <c r="H275" s="4" t="s">
        <v>107</v>
      </c>
      <c r="I275" s="11"/>
      <c r="J275" s="11" t="str">
        <f aca="false">IF(AND(ISNUMBER(G275),ISNUMBER(I275)),I275-G275,"")</f>
        <v/>
      </c>
      <c r="K275" s="10" t="n">
        <f aca="false">IF(H275="Réalisé",1,IF(H275="Partiel",0.5,IF(H275="Prévu","",0)))</f>
        <v>0</v>
      </c>
      <c r="L275" s="17"/>
      <c r="M275" s="17" t="s">
        <v>108</v>
      </c>
      <c r="N275" s="17"/>
    </row>
    <row r="276" customFormat="false" ht="15" hidden="false" customHeight="false" outlineLevel="0" collapsed="false">
      <c r="A276" s="4" t="n">
        <v>542</v>
      </c>
      <c r="B276" s="15" t="n">
        <v>46287</v>
      </c>
      <c r="C276" s="4" t="s">
        <v>26</v>
      </c>
      <c r="D276" s="4" t="s">
        <v>142</v>
      </c>
      <c r="E276" s="17" t="s">
        <v>143</v>
      </c>
      <c r="F276" s="4" t="s">
        <v>122</v>
      </c>
      <c r="G276" s="11" t="n">
        <v>45</v>
      </c>
      <c r="H276" s="4" t="s">
        <v>119</v>
      </c>
      <c r="I276" s="11"/>
      <c r="J276" s="11" t="str">
        <f aca="false">IF(AND(ISNUMBER(G276),ISNUMBER(I276)),I276-G276,"")</f>
        <v/>
      </c>
      <c r="K276" s="10" t="n">
        <f aca="false">IF(H276="Réalisé",1,IF(H276="Partiel",0.5,IF(H276="Prévu","",0)))</f>
        <v>0</v>
      </c>
      <c r="L276" s="17"/>
      <c r="M276" s="17" t="s">
        <v>108</v>
      </c>
      <c r="N276" s="17"/>
    </row>
    <row r="277" customFormat="false" ht="23.85" hidden="false" customHeight="false" outlineLevel="0" collapsed="false">
      <c r="A277" s="4" t="n">
        <v>543</v>
      </c>
      <c r="B277" s="15" t="n">
        <v>46288</v>
      </c>
      <c r="C277" s="4" t="s">
        <v>26</v>
      </c>
      <c r="D277" s="4" t="s">
        <v>104</v>
      </c>
      <c r="E277" s="17" t="s">
        <v>105</v>
      </c>
      <c r="F277" s="4" t="s">
        <v>106</v>
      </c>
      <c r="G277" s="11" t="n">
        <v>120</v>
      </c>
      <c r="H277" s="4" t="s">
        <v>119</v>
      </c>
      <c r="I277" s="11"/>
      <c r="J277" s="11" t="str">
        <f aca="false">IF(AND(ISNUMBER(G277),ISNUMBER(I277)),I277-G277,"")</f>
        <v/>
      </c>
      <c r="K277" s="10" t="n">
        <f aca="false">IF(H277="Réalisé",1,IF(H277="Partiel",0.5,IF(H277="Prévu","",0)))</f>
        <v>0</v>
      </c>
      <c r="L277" s="17"/>
      <c r="M277" s="17" t="s">
        <v>146</v>
      </c>
      <c r="N277" s="17" t="s">
        <v>109</v>
      </c>
    </row>
    <row r="278" customFormat="false" ht="15" hidden="false" customHeight="false" outlineLevel="0" collapsed="false">
      <c r="A278" s="4" t="n">
        <v>544</v>
      </c>
      <c r="B278" s="15" t="n">
        <v>46288</v>
      </c>
      <c r="C278" s="4" t="s">
        <v>24</v>
      </c>
      <c r="D278" s="4" t="s">
        <v>132</v>
      </c>
      <c r="E278" s="17" t="s">
        <v>133</v>
      </c>
      <c r="F278" s="4" t="s">
        <v>106</v>
      </c>
      <c r="G278" s="11" t="n">
        <v>15</v>
      </c>
      <c r="H278" s="4" t="s">
        <v>134</v>
      </c>
      <c r="I278" s="11" t="n">
        <v>12</v>
      </c>
      <c r="J278" s="11" t="n">
        <f aca="false">IF(AND(ISNUMBER(G278),ISNUMBER(I278)),I278-G278,"")</f>
        <v>-3</v>
      </c>
      <c r="K278" s="10" t="n">
        <f aca="false">IF(H278="Réalisé",1,IF(H278="Partiel",0.5,IF(H278="Prévu","",0)))</f>
        <v>0.5</v>
      </c>
      <c r="L278" s="17"/>
      <c r="M278" s="17"/>
      <c r="N278" s="17"/>
    </row>
    <row r="279" customFormat="false" ht="15" hidden="false" customHeight="false" outlineLevel="0" collapsed="false">
      <c r="A279" s="4" t="n">
        <v>545</v>
      </c>
      <c r="B279" s="15" t="n">
        <v>46288</v>
      </c>
      <c r="C279" s="4" t="s">
        <v>28</v>
      </c>
      <c r="D279" s="4" t="s">
        <v>114</v>
      </c>
      <c r="E279" s="17" t="s">
        <v>115</v>
      </c>
      <c r="F279" s="4" t="s">
        <v>106</v>
      </c>
      <c r="G279" s="11" t="n">
        <v>30</v>
      </c>
      <c r="H279" s="4" t="s">
        <v>134</v>
      </c>
      <c r="I279" s="11" t="n">
        <v>15</v>
      </c>
      <c r="J279" s="11" t="n">
        <f aca="false">IF(AND(ISNUMBER(G279),ISNUMBER(I279)),I279-G279,"")</f>
        <v>-15</v>
      </c>
      <c r="K279" s="10" t="n">
        <f aca="false">IF(H279="Réalisé",1,IF(H279="Partiel",0.5,IF(H279="Prévu","",0)))</f>
        <v>0.5</v>
      </c>
      <c r="L279" s="17"/>
      <c r="M279" s="17"/>
      <c r="N279" s="17"/>
    </row>
    <row r="280" customFormat="false" ht="23.85" hidden="false" customHeight="false" outlineLevel="0" collapsed="false">
      <c r="A280" s="4" t="n">
        <v>546</v>
      </c>
      <c r="B280" s="15" t="n">
        <v>46288</v>
      </c>
      <c r="C280" s="4" t="s">
        <v>26</v>
      </c>
      <c r="D280" s="4" t="s">
        <v>110</v>
      </c>
      <c r="E280" s="17" t="s">
        <v>111</v>
      </c>
      <c r="F280" s="4" t="s">
        <v>106</v>
      </c>
      <c r="G280" s="11" t="n">
        <v>60</v>
      </c>
      <c r="H280" s="4" t="s">
        <v>107</v>
      </c>
      <c r="I280" s="11"/>
      <c r="J280" s="11" t="str">
        <f aca="false">IF(AND(ISNUMBER(G280),ISNUMBER(I280)),I280-G280,"")</f>
        <v/>
      </c>
      <c r="K280" s="10" t="n">
        <f aca="false">IF(H280="Réalisé",1,IF(H280="Partiel",0.5,IF(H280="Prévu","",0)))</f>
        <v>0</v>
      </c>
      <c r="L280" s="17"/>
      <c r="M280" s="17" t="s">
        <v>137</v>
      </c>
      <c r="N280" s="17" t="s">
        <v>109</v>
      </c>
    </row>
    <row r="281" customFormat="false" ht="15" hidden="false" customHeight="false" outlineLevel="0" collapsed="false">
      <c r="A281" s="4" t="n">
        <v>547</v>
      </c>
      <c r="B281" s="15" t="n">
        <v>46289</v>
      </c>
      <c r="C281" s="4" t="s">
        <v>24</v>
      </c>
      <c r="D281" s="4" t="s">
        <v>132</v>
      </c>
      <c r="E281" s="17" t="s">
        <v>133</v>
      </c>
      <c r="F281" s="4" t="s">
        <v>122</v>
      </c>
      <c r="G281" s="11" t="n">
        <v>15</v>
      </c>
      <c r="H281" s="4" t="s">
        <v>113</v>
      </c>
      <c r="I281" s="11" t="n">
        <v>21</v>
      </c>
      <c r="J281" s="11" t="n">
        <f aca="false">IF(AND(ISNUMBER(G281),ISNUMBER(I281)),I281-G281,"")</f>
        <v>6</v>
      </c>
      <c r="K281" s="10" t="n">
        <f aca="false">IF(H281="Réalisé",1,IF(H281="Partiel",0.5,IF(H281="Prévu","",0)))</f>
        <v>1</v>
      </c>
      <c r="L281" s="17"/>
      <c r="M281" s="17"/>
      <c r="N281" s="17"/>
    </row>
    <row r="282" customFormat="false" ht="15" hidden="false" customHeight="false" outlineLevel="0" collapsed="false">
      <c r="A282" s="4" t="n">
        <v>548</v>
      </c>
      <c r="B282" s="15" t="n">
        <v>46289</v>
      </c>
      <c r="C282" s="4" t="s">
        <v>25</v>
      </c>
      <c r="D282" s="4" t="s">
        <v>147</v>
      </c>
      <c r="E282" s="17" t="s">
        <v>148</v>
      </c>
      <c r="F282" s="4" t="s">
        <v>112</v>
      </c>
      <c r="G282" s="11" t="n">
        <v>30</v>
      </c>
      <c r="H282" s="4" t="s">
        <v>123</v>
      </c>
      <c r="I282" s="11"/>
      <c r="J282" s="11" t="str">
        <f aca="false">IF(AND(ISNUMBER(G282),ISNUMBER(I282)),I282-G282,"")</f>
        <v/>
      </c>
      <c r="K282" s="10" t="n">
        <f aca="false">IF(H282="Réalisé",1,IF(H282="Partiel",0.5,IF(H282="Prévu","",0)))</f>
        <v>0</v>
      </c>
      <c r="L282" s="17"/>
      <c r="M282" s="17" t="s">
        <v>146</v>
      </c>
      <c r="N282" s="17" t="s">
        <v>149</v>
      </c>
    </row>
    <row r="283" customFormat="false" ht="23.85" hidden="false" customHeight="false" outlineLevel="0" collapsed="false">
      <c r="A283" s="4" t="n">
        <v>549</v>
      </c>
      <c r="B283" s="15" t="n">
        <v>46289</v>
      </c>
      <c r="C283" s="4" t="s">
        <v>26</v>
      </c>
      <c r="D283" s="4" t="s">
        <v>104</v>
      </c>
      <c r="E283" s="17" t="s">
        <v>105</v>
      </c>
      <c r="F283" s="4" t="s">
        <v>106</v>
      </c>
      <c r="G283" s="11" t="n">
        <v>120</v>
      </c>
      <c r="H283" s="4" t="s">
        <v>123</v>
      </c>
      <c r="I283" s="11"/>
      <c r="J283" s="11" t="str">
        <f aca="false">IF(AND(ISNUMBER(G283),ISNUMBER(I283)),I283-G283,"")</f>
        <v/>
      </c>
      <c r="K283" s="10" t="n">
        <f aca="false">IF(H283="Réalisé",1,IF(H283="Partiel",0.5,IF(H283="Prévu","",0)))</f>
        <v>0</v>
      </c>
      <c r="L283" s="17"/>
      <c r="M283" s="17" t="s">
        <v>150</v>
      </c>
      <c r="N283" s="17" t="s">
        <v>109</v>
      </c>
    </row>
    <row r="284" customFormat="false" ht="15" hidden="false" customHeight="false" outlineLevel="0" collapsed="false">
      <c r="A284" s="4" t="n">
        <v>550</v>
      </c>
      <c r="B284" s="15" t="n">
        <v>46289</v>
      </c>
      <c r="C284" s="4" t="s">
        <v>24</v>
      </c>
      <c r="D284" s="4" t="s">
        <v>126</v>
      </c>
      <c r="E284" s="17" t="s">
        <v>127</v>
      </c>
      <c r="F284" s="4" t="s">
        <v>112</v>
      </c>
      <c r="G284" s="11" t="n">
        <v>20</v>
      </c>
      <c r="H284" s="4" t="s">
        <v>113</v>
      </c>
      <c r="I284" s="11" t="n">
        <v>16</v>
      </c>
      <c r="J284" s="11" t="n">
        <f aca="false">IF(AND(ISNUMBER(G284),ISNUMBER(I284)),I284-G284,"")</f>
        <v>-4</v>
      </c>
      <c r="K284" s="10" t="n">
        <f aca="false">IF(H284="Réalisé",1,IF(H284="Partiel",0.5,IF(H284="Prévu","",0)))</f>
        <v>1</v>
      </c>
      <c r="L284" s="17"/>
      <c r="M284" s="17"/>
      <c r="N284" s="17" t="s">
        <v>128</v>
      </c>
    </row>
    <row r="285" customFormat="false" ht="23.85" hidden="false" customHeight="false" outlineLevel="0" collapsed="false">
      <c r="A285" s="4" t="n">
        <v>551</v>
      </c>
      <c r="B285" s="15" t="n">
        <v>46289</v>
      </c>
      <c r="C285" s="4" t="s">
        <v>26</v>
      </c>
      <c r="D285" s="4" t="s">
        <v>110</v>
      </c>
      <c r="E285" s="17" t="s">
        <v>111</v>
      </c>
      <c r="F285" s="4" t="s">
        <v>106</v>
      </c>
      <c r="G285" s="11" t="n">
        <v>60</v>
      </c>
      <c r="H285" s="4" t="s">
        <v>119</v>
      </c>
      <c r="I285" s="11"/>
      <c r="J285" s="11" t="str">
        <f aca="false">IF(AND(ISNUMBER(G285),ISNUMBER(I285)),I285-G285,"")</f>
        <v/>
      </c>
      <c r="K285" s="10" t="n">
        <f aca="false">IF(H285="Réalisé",1,IF(H285="Partiel",0.5,IF(H285="Prévu","",0)))</f>
        <v>0</v>
      </c>
      <c r="L285" s="17"/>
      <c r="M285" s="17" t="s">
        <v>116</v>
      </c>
      <c r="N285" s="17" t="s">
        <v>109</v>
      </c>
    </row>
    <row r="286" customFormat="false" ht="15" hidden="false" customHeight="false" outlineLevel="0" collapsed="false">
      <c r="A286" s="4" t="n">
        <v>552</v>
      </c>
      <c r="B286" s="15" t="n">
        <v>46290</v>
      </c>
      <c r="C286" s="4" t="s">
        <v>29</v>
      </c>
      <c r="D286" s="4" t="s">
        <v>124</v>
      </c>
      <c r="E286" s="17" t="s">
        <v>125</v>
      </c>
      <c r="F286" s="4" t="s">
        <v>112</v>
      </c>
      <c r="G286" s="11" t="n">
        <v>20</v>
      </c>
      <c r="H286" s="4" t="s">
        <v>113</v>
      </c>
      <c r="I286" s="11" t="n">
        <v>24</v>
      </c>
      <c r="J286" s="11" t="n">
        <f aca="false">IF(AND(ISNUMBER(G286),ISNUMBER(I286)),I286-G286,"")</f>
        <v>4</v>
      </c>
      <c r="K286" s="10" t="n">
        <f aca="false">IF(H286="Réalisé",1,IF(H286="Partiel",0.5,IF(H286="Prévu","",0)))</f>
        <v>1</v>
      </c>
      <c r="L286" s="17"/>
      <c r="M286" s="17"/>
      <c r="N286" s="17"/>
    </row>
    <row r="287" customFormat="false" ht="15" hidden="false" customHeight="false" outlineLevel="0" collapsed="false">
      <c r="A287" s="4" t="n">
        <v>553</v>
      </c>
      <c r="B287" s="15" t="n">
        <v>46290</v>
      </c>
      <c r="C287" s="4" t="s">
        <v>25</v>
      </c>
      <c r="D287" s="4" t="s">
        <v>147</v>
      </c>
      <c r="E287" s="17" t="s">
        <v>148</v>
      </c>
      <c r="F287" s="4" t="s">
        <v>112</v>
      </c>
      <c r="G287" s="11" t="n">
        <v>30</v>
      </c>
      <c r="H287" s="4" t="s">
        <v>134</v>
      </c>
      <c r="I287" s="11" t="n">
        <v>25</v>
      </c>
      <c r="J287" s="11" t="n">
        <f aca="false">IF(AND(ISNUMBER(G287),ISNUMBER(I287)),I287-G287,"")</f>
        <v>-5</v>
      </c>
      <c r="K287" s="10" t="n">
        <f aca="false">IF(H287="Réalisé",1,IF(H287="Partiel",0.5,IF(H287="Prévu","",0)))</f>
        <v>0.5</v>
      </c>
      <c r="L287" s="17"/>
      <c r="M287" s="17"/>
      <c r="N287" s="17" t="s">
        <v>149</v>
      </c>
    </row>
    <row r="288" customFormat="false" ht="15" hidden="false" customHeight="false" outlineLevel="0" collapsed="false">
      <c r="A288" s="4" t="n">
        <v>554</v>
      </c>
      <c r="B288" s="15" t="n">
        <v>46290</v>
      </c>
      <c r="C288" s="4" t="s">
        <v>25</v>
      </c>
      <c r="D288" s="4" t="s">
        <v>117</v>
      </c>
      <c r="E288" s="17" t="s">
        <v>118</v>
      </c>
      <c r="F288" s="4" t="s">
        <v>106</v>
      </c>
      <c r="G288" s="11" t="n">
        <v>40</v>
      </c>
      <c r="H288" s="4" t="s">
        <v>119</v>
      </c>
      <c r="I288" s="11"/>
      <c r="J288" s="11" t="str">
        <f aca="false">IF(AND(ISNUMBER(G288),ISNUMBER(I288)),I288-G288,"")</f>
        <v/>
      </c>
      <c r="K288" s="10" t="n">
        <f aca="false">IF(H288="Réalisé",1,IF(H288="Partiel",0.5,IF(H288="Prévu","",0)))</f>
        <v>0</v>
      </c>
      <c r="L288" s="17"/>
      <c r="M288" s="17" t="s">
        <v>152</v>
      </c>
      <c r="N288" s="17"/>
    </row>
    <row r="289" customFormat="false" ht="15" hidden="false" customHeight="false" outlineLevel="0" collapsed="false">
      <c r="A289" s="4" t="n">
        <v>555</v>
      </c>
      <c r="B289" s="15" t="n">
        <v>46290</v>
      </c>
      <c r="C289" s="4" t="s">
        <v>24</v>
      </c>
      <c r="D289" s="4" t="s">
        <v>126</v>
      </c>
      <c r="E289" s="17" t="s">
        <v>127</v>
      </c>
      <c r="F289" s="4" t="s">
        <v>106</v>
      </c>
      <c r="G289" s="11" t="n">
        <v>20</v>
      </c>
      <c r="H289" s="4" t="s">
        <v>113</v>
      </c>
      <c r="I289" s="11" t="n">
        <v>17</v>
      </c>
      <c r="J289" s="11" t="n">
        <f aca="false">IF(AND(ISNUMBER(G289),ISNUMBER(I289)),I289-G289,"")</f>
        <v>-3</v>
      </c>
      <c r="K289" s="10" t="n">
        <f aca="false">IF(H289="Réalisé",1,IF(H289="Partiel",0.5,IF(H289="Prévu","",0)))</f>
        <v>1</v>
      </c>
      <c r="L289" s="17"/>
      <c r="M289" s="17"/>
      <c r="N289" s="17" t="s">
        <v>128</v>
      </c>
    </row>
    <row r="290" customFormat="false" ht="15" hidden="false" customHeight="false" outlineLevel="0" collapsed="false">
      <c r="A290" s="4" t="n">
        <v>556</v>
      </c>
      <c r="B290" s="15" t="n">
        <v>46290</v>
      </c>
      <c r="C290" s="4" t="s">
        <v>26</v>
      </c>
      <c r="D290" s="4" t="s">
        <v>140</v>
      </c>
      <c r="E290" s="17" t="s">
        <v>141</v>
      </c>
      <c r="F290" s="4" t="s">
        <v>112</v>
      </c>
      <c r="G290" s="11" t="n">
        <v>60</v>
      </c>
      <c r="H290" s="4" t="s">
        <v>113</v>
      </c>
      <c r="I290" s="11" t="n">
        <v>57</v>
      </c>
      <c r="J290" s="11" t="n">
        <f aca="false">IF(AND(ISNUMBER(G290),ISNUMBER(I290)),I290-G290,"")</f>
        <v>-3</v>
      </c>
      <c r="K290" s="10" t="n">
        <f aca="false">IF(H290="Réalisé",1,IF(H290="Partiel",0.5,IF(H290="Prévu","",0)))</f>
        <v>1</v>
      </c>
      <c r="L290" s="17"/>
      <c r="M290" s="17"/>
      <c r="N290" s="17"/>
    </row>
    <row r="291" customFormat="false" ht="15" hidden="false" customHeight="false" outlineLevel="0" collapsed="false">
      <c r="A291" s="4" t="n">
        <v>557</v>
      </c>
      <c r="B291" s="15" t="n">
        <v>46290</v>
      </c>
      <c r="C291" s="4" t="s">
        <v>26</v>
      </c>
      <c r="D291" s="4" t="s">
        <v>142</v>
      </c>
      <c r="E291" s="17" t="s">
        <v>143</v>
      </c>
      <c r="F291" s="4" t="s">
        <v>112</v>
      </c>
      <c r="G291" s="11" t="n">
        <v>45</v>
      </c>
      <c r="H291" s="4" t="s">
        <v>134</v>
      </c>
      <c r="I291" s="11" t="n">
        <v>34</v>
      </c>
      <c r="J291" s="11" t="n">
        <f aca="false">IF(AND(ISNUMBER(G291),ISNUMBER(I291)),I291-G291,"")</f>
        <v>-11</v>
      </c>
      <c r="K291" s="10" t="n">
        <f aca="false">IF(H291="Réalisé",1,IF(H291="Partiel",0.5,IF(H291="Prévu","",0)))</f>
        <v>0.5</v>
      </c>
      <c r="L291" s="17"/>
      <c r="M291" s="17"/>
      <c r="N291" s="17"/>
    </row>
    <row r="292" customFormat="false" ht="23.85" hidden="false" customHeight="false" outlineLevel="0" collapsed="false">
      <c r="A292" s="4" t="n">
        <v>558</v>
      </c>
      <c r="B292" s="15" t="n">
        <v>46290</v>
      </c>
      <c r="C292" s="4" t="s">
        <v>26</v>
      </c>
      <c r="D292" s="4" t="s">
        <v>110</v>
      </c>
      <c r="E292" s="17" t="s">
        <v>111</v>
      </c>
      <c r="F292" s="4" t="s">
        <v>106</v>
      </c>
      <c r="G292" s="11" t="n">
        <v>60</v>
      </c>
      <c r="H292" s="4" t="s">
        <v>119</v>
      </c>
      <c r="I292" s="11"/>
      <c r="J292" s="11" t="str">
        <f aca="false">IF(AND(ISNUMBER(G292),ISNUMBER(I292)),I292-G292,"")</f>
        <v/>
      </c>
      <c r="K292" s="10" t="n">
        <f aca="false">IF(H292="Réalisé",1,IF(H292="Partiel",0.5,IF(H292="Prévu","",0)))</f>
        <v>0</v>
      </c>
      <c r="L292" s="17"/>
      <c r="M292" s="17" t="s">
        <v>116</v>
      </c>
      <c r="N292" s="17" t="s">
        <v>109</v>
      </c>
    </row>
    <row r="293" customFormat="false" ht="23.85" hidden="false" customHeight="false" outlineLevel="0" collapsed="false">
      <c r="A293" s="4" t="n">
        <v>559</v>
      </c>
      <c r="B293" s="15" t="n">
        <v>46291</v>
      </c>
      <c r="C293" s="4" t="s">
        <v>26</v>
      </c>
      <c r="D293" s="4" t="s">
        <v>104</v>
      </c>
      <c r="E293" s="17" t="s">
        <v>105</v>
      </c>
      <c r="F293" s="4" t="s">
        <v>122</v>
      </c>
      <c r="G293" s="11" t="n">
        <v>120</v>
      </c>
      <c r="H293" s="4" t="s">
        <v>113</v>
      </c>
      <c r="I293" s="11" t="n">
        <v>174</v>
      </c>
      <c r="J293" s="11" t="n">
        <f aca="false">IF(AND(ISNUMBER(G293),ISNUMBER(I293)),I293-G293,"")</f>
        <v>54</v>
      </c>
      <c r="K293" s="10" t="n">
        <f aca="false">IF(H293="Réalisé",1,IF(H293="Partiel",0.5,IF(H293="Prévu","",0)))</f>
        <v>1</v>
      </c>
      <c r="L293" s="17"/>
      <c r="M293" s="17"/>
      <c r="N293" s="17" t="s">
        <v>109</v>
      </c>
    </row>
    <row r="294" customFormat="false" ht="23.85" hidden="false" customHeight="false" outlineLevel="0" collapsed="false">
      <c r="A294" s="4" t="n">
        <v>560</v>
      </c>
      <c r="B294" s="15" t="n">
        <v>46291</v>
      </c>
      <c r="C294" s="4" t="s">
        <v>26</v>
      </c>
      <c r="D294" s="4" t="s">
        <v>110</v>
      </c>
      <c r="E294" s="17" t="s">
        <v>111</v>
      </c>
      <c r="F294" s="4" t="s">
        <v>122</v>
      </c>
      <c r="G294" s="11" t="n">
        <v>60</v>
      </c>
      <c r="H294" s="4" t="s">
        <v>119</v>
      </c>
      <c r="I294" s="11"/>
      <c r="J294" s="11" t="str">
        <f aca="false">IF(AND(ISNUMBER(G294),ISNUMBER(I294)),I294-G294,"")</f>
        <v/>
      </c>
      <c r="K294" s="10" t="n">
        <f aca="false">IF(H294="Réalisé",1,IF(H294="Partiel",0.5,IF(H294="Prévu","",0)))</f>
        <v>0</v>
      </c>
      <c r="L294" s="17"/>
      <c r="M294" s="17" t="s">
        <v>131</v>
      </c>
      <c r="N294" s="17" t="s">
        <v>109</v>
      </c>
    </row>
    <row r="295" customFormat="false" ht="15" hidden="false" customHeight="false" outlineLevel="0" collapsed="false">
      <c r="A295" s="4" t="n">
        <v>561</v>
      </c>
      <c r="B295" s="15" t="n">
        <v>46291</v>
      </c>
      <c r="C295" s="4" t="s">
        <v>25</v>
      </c>
      <c r="D295" s="4" t="s">
        <v>117</v>
      </c>
      <c r="E295" s="17" t="s">
        <v>118</v>
      </c>
      <c r="F295" s="4" t="s">
        <v>106</v>
      </c>
      <c r="G295" s="11" t="n">
        <v>40</v>
      </c>
      <c r="H295" s="4" t="s">
        <v>107</v>
      </c>
      <c r="I295" s="11"/>
      <c r="J295" s="11" t="str">
        <f aca="false">IF(AND(ISNUMBER(G295),ISNUMBER(I295)),I295-G295,"")</f>
        <v/>
      </c>
      <c r="K295" s="10" t="n">
        <f aca="false">IF(H295="Réalisé",1,IF(H295="Partiel",0.5,IF(H295="Prévu","",0)))</f>
        <v>0</v>
      </c>
      <c r="L295" s="17"/>
      <c r="M295" s="17" t="s">
        <v>131</v>
      </c>
      <c r="N295" s="17"/>
    </row>
    <row r="296" customFormat="false" ht="15" hidden="false" customHeight="false" outlineLevel="0" collapsed="false">
      <c r="A296" s="4" t="n">
        <v>562</v>
      </c>
      <c r="B296" s="15" t="n">
        <v>46291</v>
      </c>
      <c r="C296" s="4" t="s">
        <v>27</v>
      </c>
      <c r="D296" s="4" t="s">
        <v>135</v>
      </c>
      <c r="E296" s="17" t="s">
        <v>136</v>
      </c>
      <c r="F296" s="4" t="s">
        <v>106</v>
      </c>
      <c r="G296" s="11" t="n">
        <v>45</v>
      </c>
      <c r="H296" s="4" t="s">
        <v>123</v>
      </c>
      <c r="I296" s="11"/>
      <c r="J296" s="11" t="str">
        <f aca="false">IF(AND(ISNUMBER(G296),ISNUMBER(I296)),I296-G296,"")</f>
        <v/>
      </c>
      <c r="K296" s="10" t="n">
        <f aca="false">IF(H296="Réalisé",1,IF(H296="Partiel",0.5,IF(H296="Prévu","",0)))</f>
        <v>0</v>
      </c>
      <c r="L296" s="17"/>
      <c r="M296" s="17" t="s">
        <v>150</v>
      </c>
      <c r="N296" s="17" t="s">
        <v>138</v>
      </c>
    </row>
    <row r="297" customFormat="false" ht="15" hidden="false" customHeight="false" outlineLevel="0" collapsed="false">
      <c r="A297" s="4" t="n">
        <v>563</v>
      </c>
      <c r="B297" s="15" t="n">
        <v>46291</v>
      </c>
      <c r="C297" s="4" t="s">
        <v>24</v>
      </c>
      <c r="D297" s="4" t="s">
        <v>132</v>
      </c>
      <c r="E297" s="17" t="s">
        <v>133</v>
      </c>
      <c r="F297" s="4" t="s">
        <v>122</v>
      </c>
      <c r="G297" s="11" t="n">
        <v>15</v>
      </c>
      <c r="H297" s="4" t="s">
        <v>113</v>
      </c>
      <c r="I297" s="11" t="n">
        <v>16</v>
      </c>
      <c r="J297" s="11" t="n">
        <f aca="false">IF(AND(ISNUMBER(G297),ISNUMBER(I297)),I297-G297,"")</f>
        <v>1</v>
      </c>
      <c r="K297" s="10" t="n">
        <f aca="false">IF(H297="Réalisé",1,IF(H297="Partiel",0.5,IF(H297="Prévu","",0)))</f>
        <v>1</v>
      </c>
      <c r="L297" s="17"/>
      <c r="M297" s="17"/>
      <c r="N297" s="17"/>
    </row>
    <row r="298" customFormat="false" ht="15" hidden="false" customHeight="false" outlineLevel="0" collapsed="false">
      <c r="A298" s="4" t="n">
        <v>564</v>
      </c>
      <c r="B298" s="15" t="n">
        <v>46292</v>
      </c>
      <c r="C298" s="4" t="s">
        <v>24</v>
      </c>
      <c r="D298" s="4" t="s">
        <v>132</v>
      </c>
      <c r="E298" s="17" t="s">
        <v>133</v>
      </c>
      <c r="F298" s="4" t="s">
        <v>122</v>
      </c>
      <c r="G298" s="11" t="n">
        <v>15</v>
      </c>
      <c r="H298" s="4" t="s">
        <v>134</v>
      </c>
      <c r="I298" s="11" t="n">
        <v>7</v>
      </c>
      <c r="J298" s="11" t="n">
        <f aca="false">IF(AND(ISNUMBER(G298),ISNUMBER(I298)),I298-G298,"")</f>
        <v>-8</v>
      </c>
      <c r="K298" s="10" t="n">
        <f aca="false">IF(H298="Réalisé",1,IF(H298="Partiel",0.5,IF(H298="Prévu","",0)))</f>
        <v>0.5</v>
      </c>
      <c r="L298" s="17"/>
      <c r="M298" s="17"/>
      <c r="N298" s="17"/>
    </row>
    <row r="299" customFormat="false" ht="23.85" hidden="false" customHeight="false" outlineLevel="0" collapsed="false">
      <c r="A299" s="4" t="n">
        <v>565</v>
      </c>
      <c r="B299" s="15" t="n">
        <v>46292</v>
      </c>
      <c r="C299" s="4" t="s">
        <v>26</v>
      </c>
      <c r="D299" s="4" t="s">
        <v>110</v>
      </c>
      <c r="E299" s="17" t="s">
        <v>111</v>
      </c>
      <c r="F299" s="4" t="s">
        <v>112</v>
      </c>
      <c r="G299" s="11" t="n">
        <v>60</v>
      </c>
      <c r="H299" s="4" t="s">
        <v>107</v>
      </c>
      <c r="I299" s="11"/>
      <c r="J299" s="11" t="str">
        <f aca="false">IF(AND(ISNUMBER(G299),ISNUMBER(I299)),I299-G299,"")</f>
        <v/>
      </c>
      <c r="K299" s="10" t="n">
        <f aca="false">IF(H299="Réalisé",1,IF(H299="Partiel",0.5,IF(H299="Prévu","",0)))</f>
        <v>0</v>
      </c>
      <c r="L299" s="17"/>
      <c r="M299" s="17" t="s">
        <v>116</v>
      </c>
      <c r="N299" s="17" t="s">
        <v>109</v>
      </c>
    </row>
    <row r="300" customFormat="false" ht="15" hidden="false" customHeight="false" outlineLevel="0" collapsed="false">
      <c r="A300" s="4" t="n">
        <v>566</v>
      </c>
      <c r="B300" s="15" t="n">
        <v>46292</v>
      </c>
      <c r="C300" s="4" t="s">
        <v>25</v>
      </c>
      <c r="D300" s="4" t="s">
        <v>117</v>
      </c>
      <c r="E300" s="17" t="s">
        <v>118</v>
      </c>
      <c r="F300" s="4" t="s">
        <v>122</v>
      </c>
      <c r="G300" s="11" t="n">
        <v>40</v>
      </c>
      <c r="H300" s="4" t="s">
        <v>113</v>
      </c>
      <c r="I300" s="11" t="n">
        <v>28</v>
      </c>
      <c r="J300" s="11" t="n">
        <f aca="false">IF(AND(ISNUMBER(G300),ISNUMBER(I300)),I300-G300,"")</f>
        <v>-12</v>
      </c>
      <c r="K300" s="10" t="n">
        <f aca="false">IF(H300="Réalisé",1,IF(H300="Partiel",0.5,IF(H300="Prévu","",0)))</f>
        <v>1</v>
      </c>
      <c r="L300" s="17"/>
      <c r="M300" s="17"/>
      <c r="N300" s="17"/>
    </row>
    <row r="301" customFormat="false" ht="15" hidden="false" customHeight="false" outlineLevel="0" collapsed="false">
      <c r="A301" s="4" t="n">
        <v>567</v>
      </c>
      <c r="B301" s="15" t="n">
        <v>46292</v>
      </c>
      <c r="C301" s="4" t="s">
        <v>27</v>
      </c>
      <c r="D301" s="4" t="s">
        <v>129</v>
      </c>
      <c r="E301" s="17" t="s">
        <v>130</v>
      </c>
      <c r="F301" s="4" t="s">
        <v>122</v>
      </c>
      <c r="G301" s="11" t="n">
        <v>60</v>
      </c>
      <c r="H301" s="4" t="s">
        <v>113</v>
      </c>
      <c r="I301" s="11" t="n">
        <v>90</v>
      </c>
      <c r="J301" s="11" t="n">
        <f aca="false">IF(AND(ISNUMBER(G301),ISNUMBER(I301)),I301-G301,"")</f>
        <v>30</v>
      </c>
      <c r="K301" s="10" t="n">
        <f aca="false">IF(H301="Réalisé",1,IF(H301="Partiel",0.5,IF(H301="Prévu","",0)))</f>
        <v>1</v>
      </c>
      <c r="L301" s="17"/>
      <c r="M301" s="17"/>
      <c r="N301" s="17"/>
    </row>
    <row r="302" customFormat="false" ht="15" hidden="false" customHeight="false" outlineLevel="0" collapsed="false">
      <c r="A302" s="4" t="n">
        <v>568</v>
      </c>
      <c r="B302" s="15" t="n">
        <v>46292</v>
      </c>
      <c r="C302" s="4" t="s">
        <v>26</v>
      </c>
      <c r="D302" s="4" t="s">
        <v>142</v>
      </c>
      <c r="E302" s="17" t="s">
        <v>143</v>
      </c>
      <c r="F302" s="4" t="s">
        <v>112</v>
      </c>
      <c r="G302" s="11" t="n">
        <v>45</v>
      </c>
      <c r="H302" s="4" t="s">
        <v>134</v>
      </c>
      <c r="I302" s="11" t="n">
        <v>55</v>
      </c>
      <c r="J302" s="11" t="n">
        <f aca="false">IF(AND(ISNUMBER(G302),ISNUMBER(I302)),I302-G302,"")</f>
        <v>10</v>
      </c>
      <c r="K302" s="10" t="n">
        <f aca="false">IF(H302="Réalisé",1,IF(H302="Partiel",0.5,IF(H302="Prévu","",0)))</f>
        <v>0.5</v>
      </c>
      <c r="L302" s="17"/>
      <c r="M302" s="17"/>
      <c r="N302" s="17"/>
    </row>
    <row r="303" customFormat="false" ht="15" hidden="false" customHeight="false" outlineLevel="0" collapsed="false">
      <c r="A303" s="4" t="n">
        <v>569</v>
      </c>
      <c r="B303" s="15" t="n">
        <v>46293</v>
      </c>
      <c r="C303" s="4" t="s">
        <v>27</v>
      </c>
      <c r="D303" s="4" t="s">
        <v>129</v>
      </c>
      <c r="E303" s="17" t="s">
        <v>130</v>
      </c>
      <c r="F303" s="4" t="s">
        <v>122</v>
      </c>
      <c r="G303" s="11" t="n">
        <v>60</v>
      </c>
      <c r="H303" s="4" t="s">
        <v>123</v>
      </c>
      <c r="I303" s="11"/>
      <c r="J303" s="11" t="str">
        <f aca="false">IF(AND(ISNUMBER(G303),ISNUMBER(I303)),I303-G303,"")</f>
        <v/>
      </c>
      <c r="K303" s="10" t="n">
        <f aca="false">IF(H303="Réalisé",1,IF(H303="Partiel",0.5,IF(H303="Prévu","",0)))</f>
        <v>0</v>
      </c>
      <c r="L303" s="17"/>
      <c r="M303" s="17" t="s">
        <v>116</v>
      </c>
      <c r="N303" s="17"/>
    </row>
    <row r="304" customFormat="false" ht="15" hidden="false" customHeight="false" outlineLevel="0" collapsed="false">
      <c r="A304" s="4" t="n">
        <v>570</v>
      </c>
      <c r="B304" s="15" t="n">
        <v>46293</v>
      </c>
      <c r="C304" s="4" t="s">
        <v>24</v>
      </c>
      <c r="D304" s="4" t="s">
        <v>126</v>
      </c>
      <c r="E304" s="17" t="s">
        <v>127</v>
      </c>
      <c r="F304" s="4" t="s">
        <v>106</v>
      </c>
      <c r="G304" s="11" t="n">
        <v>20</v>
      </c>
      <c r="H304" s="4" t="s">
        <v>119</v>
      </c>
      <c r="I304" s="11"/>
      <c r="J304" s="11" t="str">
        <f aca="false">IF(AND(ISNUMBER(G304),ISNUMBER(I304)),I304-G304,"")</f>
        <v/>
      </c>
      <c r="K304" s="10" t="n">
        <f aca="false">IF(H304="Réalisé",1,IF(H304="Partiel",0.5,IF(H304="Prévu","",0)))</f>
        <v>0</v>
      </c>
      <c r="L304" s="17"/>
      <c r="M304" s="17" t="s">
        <v>116</v>
      </c>
      <c r="N304" s="17" t="s">
        <v>128</v>
      </c>
    </row>
    <row r="305" customFormat="false" ht="15" hidden="false" customHeight="false" outlineLevel="0" collapsed="false">
      <c r="A305" s="4" t="n">
        <v>571</v>
      </c>
      <c r="B305" s="15" t="n">
        <v>46293</v>
      </c>
      <c r="C305" s="4" t="s">
        <v>28</v>
      </c>
      <c r="D305" s="4" t="s">
        <v>114</v>
      </c>
      <c r="E305" s="17" t="s">
        <v>115</v>
      </c>
      <c r="F305" s="4" t="s">
        <v>106</v>
      </c>
      <c r="G305" s="11" t="n">
        <v>30</v>
      </c>
      <c r="H305" s="4" t="s">
        <v>113</v>
      </c>
      <c r="I305" s="11" t="n">
        <v>25</v>
      </c>
      <c r="J305" s="11" t="n">
        <f aca="false">IF(AND(ISNUMBER(G305),ISNUMBER(I305)),I305-G305,"")</f>
        <v>-5</v>
      </c>
      <c r="K305" s="10" t="n">
        <f aca="false">IF(H305="Réalisé",1,IF(H305="Partiel",0.5,IF(H305="Prévu","",0)))</f>
        <v>1</v>
      </c>
      <c r="L305" s="17"/>
      <c r="M305" s="17"/>
      <c r="N305" s="17"/>
    </row>
    <row r="306" customFormat="false" ht="15" hidden="false" customHeight="false" outlineLevel="0" collapsed="false">
      <c r="A306" s="4" t="n">
        <v>572</v>
      </c>
      <c r="B306" s="15" t="n">
        <v>46294</v>
      </c>
      <c r="C306" s="4" t="s">
        <v>25</v>
      </c>
      <c r="D306" s="4" t="s">
        <v>147</v>
      </c>
      <c r="E306" s="17" t="s">
        <v>148</v>
      </c>
      <c r="F306" s="4" t="s">
        <v>122</v>
      </c>
      <c r="G306" s="11" t="n">
        <v>30</v>
      </c>
      <c r="H306" s="4" t="s">
        <v>119</v>
      </c>
      <c r="I306" s="11"/>
      <c r="J306" s="11" t="str">
        <f aca="false">IF(AND(ISNUMBER(G306),ISNUMBER(I306)),I306-G306,"")</f>
        <v/>
      </c>
      <c r="K306" s="10" t="n">
        <f aca="false">IF(H306="Réalisé",1,IF(H306="Partiel",0.5,IF(H306="Prévu","",0)))</f>
        <v>0</v>
      </c>
      <c r="L306" s="17"/>
      <c r="M306" s="17" t="s">
        <v>116</v>
      </c>
      <c r="N306" s="17" t="s">
        <v>149</v>
      </c>
    </row>
    <row r="307" customFormat="false" ht="15" hidden="false" customHeight="false" outlineLevel="0" collapsed="false">
      <c r="A307" s="4" t="n">
        <v>573</v>
      </c>
      <c r="B307" s="15" t="n">
        <v>46294</v>
      </c>
      <c r="C307" s="4" t="s">
        <v>30</v>
      </c>
      <c r="D307" s="4" t="s">
        <v>120</v>
      </c>
      <c r="E307" s="17" t="s">
        <v>121</v>
      </c>
      <c r="F307" s="4" t="s">
        <v>122</v>
      </c>
      <c r="G307" s="11" t="n">
        <v>30</v>
      </c>
      <c r="H307" s="4" t="s">
        <v>107</v>
      </c>
      <c r="I307" s="11"/>
      <c r="J307" s="11" t="str">
        <f aca="false">IF(AND(ISNUMBER(G307),ISNUMBER(I307)),I307-G307,"")</f>
        <v/>
      </c>
      <c r="K307" s="10" t="n">
        <f aca="false">IF(H307="Réalisé",1,IF(H307="Partiel",0.5,IF(H307="Prévu","",0)))</f>
        <v>0</v>
      </c>
      <c r="L307" s="17"/>
      <c r="M307" s="17" t="s">
        <v>150</v>
      </c>
      <c r="N307" s="17"/>
    </row>
    <row r="308" customFormat="false" ht="15" hidden="false" customHeight="false" outlineLevel="0" collapsed="false">
      <c r="A308" s="4" t="n">
        <v>574</v>
      </c>
      <c r="B308" s="15" t="n">
        <v>46295</v>
      </c>
      <c r="C308" s="4" t="s">
        <v>30</v>
      </c>
      <c r="D308" s="4" t="s">
        <v>120</v>
      </c>
      <c r="E308" s="17" t="s">
        <v>121</v>
      </c>
      <c r="F308" s="4" t="s">
        <v>106</v>
      </c>
      <c r="G308" s="11" t="n">
        <v>30</v>
      </c>
      <c r="H308" s="4" t="s">
        <v>123</v>
      </c>
      <c r="I308" s="11"/>
      <c r="J308" s="11" t="str">
        <f aca="false">IF(AND(ISNUMBER(G308),ISNUMBER(I308)),I308-G308,"")</f>
        <v/>
      </c>
      <c r="K308" s="10" t="n">
        <f aca="false">IF(H308="Réalisé",1,IF(H308="Partiel",0.5,IF(H308="Prévu","",0)))</f>
        <v>0</v>
      </c>
      <c r="L308" s="17"/>
      <c r="M308" s="17" t="s">
        <v>116</v>
      </c>
      <c r="N308" s="17"/>
    </row>
    <row r="309" customFormat="false" ht="23.85" hidden="false" customHeight="false" outlineLevel="0" collapsed="false">
      <c r="A309" s="4" t="n">
        <v>575</v>
      </c>
      <c r="B309" s="15" t="n">
        <v>46295</v>
      </c>
      <c r="C309" s="4" t="s">
        <v>26</v>
      </c>
      <c r="D309" s="4" t="s">
        <v>110</v>
      </c>
      <c r="E309" s="17" t="s">
        <v>111</v>
      </c>
      <c r="F309" s="4" t="s">
        <v>112</v>
      </c>
      <c r="G309" s="11" t="n">
        <v>60</v>
      </c>
      <c r="H309" s="4" t="s">
        <v>119</v>
      </c>
      <c r="I309" s="11"/>
      <c r="J309" s="11" t="str">
        <f aca="false">IF(AND(ISNUMBER(G309),ISNUMBER(I309)),I309-G309,"")</f>
        <v/>
      </c>
      <c r="K309" s="10" t="n">
        <f aca="false">IF(H309="Réalisé",1,IF(H309="Partiel",0.5,IF(H309="Prévu","",0)))</f>
        <v>0</v>
      </c>
      <c r="L309" s="17"/>
      <c r="M309" s="17" t="s">
        <v>116</v>
      </c>
      <c r="N309" s="17" t="s">
        <v>109</v>
      </c>
    </row>
    <row r="310" customFormat="false" ht="15" hidden="false" customHeight="false" outlineLevel="0" collapsed="false">
      <c r="A310" s="4" t="n">
        <v>576</v>
      </c>
      <c r="B310" s="15" t="n">
        <v>46295</v>
      </c>
      <c r="C310" s="4" t="s">
        <v>24</v>
      </c>
      <c r="D310" s="4" t="s">
        <v>132</v>
      </c>
      <c r="E310" s="17" t="s">
        <v>133</v>
      </c>
      <c r="F310" s="4" t="s">
        <v>112</v>
      </c>
      <c r="G310" s="11" t="n">
        <v>15</v>
      </c>
      <c r="H310" s="4" t="s">
        <v>123</v>
      </c>
      <c r="I310" s="11"/>
      <c r="J310" s="11" t="str">
        <f aca="false">IF(AND(ISNUMBER(G310),ISNUMBER(I310)),I310-G310,"")</f>
        <v/>
      </c>
      <c r="K310" s="10" t="n">
        <f aca="false">IF(H310="Réalisé",1,IF(H310="Partiel",0.5,IF(H310="Prévu","",0)))</f>
        <v>0</v>
      </c>
      <c r="L310" s="17"/>
      <c r="M310" s="17" t="s">
        <v>152</v>
      </c>
      <c r="N310" s="17"/>
    </row>
    <row r="311" customFormat="false" ht="15" hidden="false" customHeight="false" outlineLevel="0" collapsed="false">
      <c r="A311" s="4" t="n">
        <v>577</v>
      </c>
      <c r="B311" s="15" t="n">
        <v>46295</v>
      </c>
      <c r="C311" s="4" t="s">
        <v>27</v>
      </c>
      <c r="D311" s="4" t="s">
        <v>129</v>
      </c>
      <c r="E311" s="17" t="s">
        <v>130</v>
      </c>
      <c r="F311" s="4" t="s">
        <v>112</v>
      </c>
      <c r="G311" s="11" t="n">
        <v>60</v>
      </c>
      <c r="H311" s="4" t="s">
        <v>107</v>
      </c>
      <c r="I311" s="11"/>
      <c r="J311" s="11" t="str">
        <f aca="false">IF(AND(ISNUMBER(G311),ISNUMBER(I311)),I311-G311,"")</f>
        <v/>
      </c>
      <c r="K311" s="10" t="n">
        <f aca="false">IF(H311="Réalisé",1,IF(H311="Partiel",0.5,IF(H311="Prévu","",0)))</f>
        <v>0</v>
      </c>
      <c r="L311" s="17"/>
      <c r="M311" s="17" t="s">
        <v>116</v>
      </c>
      <c r="N311" s="17"/>
    </row>
    <row r="312" customFormat="false" ht="15" hidden="false" customHeight="false" outlineLevel="0" collapsed="false">
      <c r="A312" s="4" t="n">
        <v>578</v>
      </c>
      <c r="B312" s="15" t="n">
        <v>46295</v>
      </c>
      <c r="C312" s="4" t="s">
        <v>26</v>
      </c>
      <c r="D312" s="4" t="s">
        <v>140</v>
      </c>
      <c r="E312" s="17" t="s">
        <v>141</v>
      </c>
      <c r="F312" s="4" t="s">
        <v>106</v>
      </c>
      <c r="G312" s="11" t="n">
        <v>60</v>
      </c>
      <c r="H312" s="4" t="s">
        <v>123</v>
      </c>
      <c r="I312" s="11"/>
      <c r="J312" s="11" t="str">
        <f aca="false">IF(AND(ISNUMBER(G312),ISNUMBER(I312)),I312-G312,"")</f>
        <v/>
      </c>
      <c r="K312" s="10" t="n">
        <f aca="false">IF(H312="Réalisé",1,IF(H312="Partiel",0.5,IF(H312="Prévu","",0)))</f>
        <v>0</v>
      </c>
      <c r="L312" s="17"/>
      <c r="M312" s="17" t="s">
        <v>116</v>
      </c>
      <c r="N312" s="17"/>
    </row>
    <row r="313" customFormat="false" ht="15" hidden="false" customHeight="false" outlineLevel="0" collapsed="false">
      <c r="A313" s="4" t="n">
        <v>579</v>
      </c>
      <c r="B313" s="15" t="n">
        <v>46295</v>
      </c>
      <c r="C313" s="4" t="s">
        <v>29</v>
      </c>
      <c r="D313" s="4" t="s">
        <v>124</v>
      </c>
      <c r="E313" s="17" t="s">
        <v>125</v>
      </c>
      <c r="F313" s="4" t="s">
        <v>112</v>
      </c>
      <c r="G313" s="11" t="n">
        <v>20</v>
      </c>
      <c r="H313" s="4" t="s">
        <v>123</v>
      </c>
      <c r="I313" s="11"/>
      <c r="J313" s="11" t="str">
        <f aca="false">IF(AND(ISNUMBER(G313),ISNUMBER(I313)),I313-G313,"")</f>
        <v/>
      </c>
      <c r="K313" s="10" t="n">
        <f aca="false">IF(H313="Réalisé",1,IF(H313="Partiel",0.5,IF(H313="Prévu","",0)))</f>
        <v>0</v>
      </c>
      <c r="L313" s="17"/>
      <c r="M313" s="17" t="s">
        <v>108</v>
      </c>
      <c r="N313" s="17"/>
    </row>
    <row r="314" customFormat="false" ht="23.85" hidden="false" customHeight="false" outlineLevel="0" collapsed="false">
      <c r="A314" s="4" t="n">
        <v>580</v>
      </c>
      <c r="B314" s="15" t="n">
        <v>46296</v>
      </c>
      <c r="C314" s="4" t="s">
        <v>26</v>
      </c>
      <c r="D314" s="4" t="s">
        <v>104</v>
      </c>
      <c r="E314" s="17" t="s">
        <v>105</v>
      </c>
      <c r="F314" s="4" t="s">
        <v>106</v>
      </c>
      <c r="G314" s="11" t="n">
        <v>120</v>
      </c>
      <c r="H314" s="4" t="s">
        <v>113</v>
      </c>
      <c r="I314" s="11" t="n">
        <v>153</v>
      </c>
      <c r="J314" s="11" t="n">
        <f aca="false">IF(AND(ISNUMBER(G314),ISNUMBER(I314)),I314-G314,"")</f>
        <v>33</v>
      </c>
      <c r="K314" s="10" t="n">
        <f aca="false">IF(H314="Réalisé",1,IF(H314="Partiel",0.5,IF(H314="Prévu","",0)))</f>
        <v>1</v>
      </c>
      <c r="L314" s="17" t="s">
        <v>139</v>
      </c>
      <c r="M314" s="17"/>
      <c r="N314" s="17" t="s">
        <v>109</v>
      </c>
    </row>
    <row r="315" customFormat="false" ht="15" hidden="false" customHeight="false" outlineLevel="0" collapsed="false">
      <c r="A315" s="4" t="n">
        <v>581</v>
      </c>
      <c r="B315" s="15" t="n">
        <v>46296</v>
      </c>
      <c r="C315" s="4" t="s">
        <v>24</v>
      </c>
      <c r="D315" s="4" t="s">
        <v>126</v>
      </c>
      <c r="E315" s="17" t="s">
        <v>127</v>
      </c>
      <c r="F315" s="4" t="s">
        <v>112</v>
      </c>
      <c r="G315" s="11" t="n">
        <v>20</v>
      </c>
      <c r="H315" s="4" t="s">
        <v>113</v>
      </c>
      <c r="I315" s="11" t="n">
        <v>16</v>
      </c>
      <c r="J315" s="11" t="n">
        <f aca="false">IF(AND(ISNUMBER(G315),ISNUMBER(I315)),I315-G315,"")</f>
        <v>-4</v>
      </c>
      <c r="K315" s="10" t="n">
        <f aca="false">IF(H315="Réalisé",1,IF(H315="Partiel",0.5,IF(H315="Prévu","",0)))</f>
        <v>1</v>
      </c>
      <c r="L315" s="17"/>
      <c r="M315" s="17"/>
      <c r="N315" s="17" t="s">
        <v>128</v>
      </c>
    </row>
    <row r="316" customFormat="false" ht="15" hidden="false" customHeight="false" outlineLevel="0" collapsed="false">
      <c r="A316" s="4" t="n">
        <v>582</v>
      </c>
      <c r="B316" s="15" t="n">
        <v>46296</v>
      </c>
      <c r="C316" s="4" t="s">
        <v>24</v>
      </c>
      <c r="D316" s="4" t="s">
        <v>132</v>
      </c>
      <c r="E316" s="17" t="s">
        <v>133</v>
      </c>
      <c r="F316" s="4" t="s">
        <v>106</v>
      </c>
      <c r="G316" s="11" t="n">
        <v>15</v>
      </c>
      <c r="H316" s="4" t="s">
        <v>113</v>
      </c>
      <c r="I316" s="11" t="n">
        <v>18</v>
      </c>
      <c r="J316" s="11" t="n">
        <f aca="false">IF(AND(ISNUMBER(G316),ISNUMBER(I316)),I316-G316,"")</f>
        <v>3</v>
      </c>
      <c r="K316" s="10" t="n">
        <f aca="false">IF(H316="Réalisé",1,IF(H316="Partiel",0.5,IF(H316="Prévu","",0)))</f>
        <v>1</v>
      </c>
      <c r="L316" s="17"/>
      <c r="M316" s="17"/>
      <c r="N316" s="17"/>
    </row>
    <row r="317" customFormat="false" ht="23.85" hidden="false" customHeight="false" outlineLevel="0" collapsed="false">
      <c r="A317" s="4" t="n">
        <v>583</v>
      </c>
      <c r="B317" s="15" t="n">
        <v>46296</v>
      </c>
      <c r="C317" s="4" t="s">
        <v>26</v>
      </c>
      <c r="D317" s="4" t="s">
        <v>110</v>
      </c>
      <c r="E317" s="17" t="s">
        <v>111</v>
      </c>
      <c r="F317" s="4" t="s">
        <v>106</v>
      </c>
      <c r="G317" s="11" t="n">
        <v>60</v>
      </c>
      <c r="H317" s="4" t="s">
        <v>134</v>
      </c>
      <c r="I317" s="11" t="n">
        <v>12</v>
      </c>
      <c r="J317" s="11" t="n">
        <f aca="false">IF(AND(ISNUMBER(G317),ISNUMBER(I317)),I317-G317,"")</f>
        <v>-48</v>
      </c>
      <c r="K317" s="10" t="n">
        <f aca="false">IF(H317="Réalisé",1,IF(H317="Partiel",0.5,IF(H317="Prévu","",0)))</f>
        <v>0.5</v>
      </c>
      <c r="L317" s="17"/>
      <c r="M317" s="17"/>
      <c r="N317" s="17" t="s">
        <v>109</v>
      </c>
    </row>
    <row r="318" customFormat="false" ht="15" hidden="false" customHeight="false" outlineLevel="0" collapsed="false">
      <c r="A318" s="4" t="n">
        <v>584</v>
      </c>
      <c r="B318" s="15" t="n">
        <v>46297</v>
      </c>
      <c r="C318" s="4" t="s">
        <v>29</v>
      </c>
      <c r="D318" s="4" t="s">
        <v>124</v>
      </c>
      <c r="E318" s="17" t="s">
        <v>125</v>
      </c>
      <c r="F318" s="4" t="s">
        <v>106</v>
      </c>
      <c r="G318" s="11" t="n">
        <v>20</v>
      </c>
      <c r="H318" s="4" t="s">
        <v>113</v>
      </c>
      <c r="I318" s="11" t="n">
        <v>21</v>
      </c>
      <c r="J318" s="11" t="n">
        <f aca="false">IF(AND(ISNUMBER(G318),ISNUMBER(I318)),I318-G318,"")</f>
        <v>1</v>
      </c>
      <c r="K318" s="10" t="n">
        <f aca="false">IF(H318="Réalisé",1,IF(H318="Partiel",0.5,IF(H318="Prévu","",0)))</f>
        <v>1</v>
      </c>
      <c r="L318" s="17"/>
      <c r="M318" s="17"/>
      <c r="N318" s="17"/>
    </row>
    <row r="319" customFormat="false" ht="15" hidden="false" customHeight="false" outlineLevel="0" collapsed="false">
      <c r="A319" s="4" t="n">
        <v>585</v>
      </c>
      <c r="B319" s="15" t="n">
        <v>46297</v>
      </c>
      <c r="C319" s="4" t="s">
        <v>24</v>
      </c>
      <c r="D319" s="4" t="s">
        <v>126</v>
      </c>
      <c r="E319" s="17" t="s">
        <v>127</v>
      </c>
      <c r="F319" s="4" t="s">
        <v>122</v>
      </c>
      <c r="G319" s="11" t="n">
        <v>20</v>
      </c>
      <c r="H319" s="4" t="s">
        <v>113</v>
      </c>
      <c r="I319" s="11" t="n">
        <v>21</v>
      </c>
      <c r="J319" s="11" t="n">
        <f aca="false">IF(AND(ISNUMBER(G319),ISNUMBER(I319)),I319-G319,"")</f>
        <v>1</v>
      </c>
      <c r="K319" s="10" t="n">
        <f aca="false">IF(H319="Réalisé",1,IF(H319="Partiel",0.5,IF(H319="Prévu","",0)))</f>
        <v>1</v>
      </c>
      <c r="L319" s="17"/>
      <c r="M319" s="17"/>
      <c r="N319" s="17" t="s">
        <v>128</v>
      </c>
    </row>
    <row r="320" customFormat="false" ht="15" hidden="false" customHeight="false" outlineLevel="0" collapsed="false">
      <c r="A320" s="4" t="n">
        <v>586</v>
      </c>
      <c r="B320" s="15" t="n">
        <v>46297</v>
      </c>
      <c r="C320" s="4" t="s">
        <v>24</v>
      </c>
      <c r="D320" s="4" t="s">
        <v>132</v>
      </c>
      <c r="E320" s="17" t="s">
        <v>133</v>
      </c>
      <c r="F320" s="4" t="s">
        <v>106</v>
      </c>
      <c r="G320" s="11" t="n">
        <v>15</v>
      </c>
      <c r="H320" s="4" t="s">
        <v>113</v>
      </c>
      <c r="I320" s="11" t="n">
        <v>15</v>
      </c>
      <c r="J320" s="11" t="n">
        <f aca="false">IF(AND(ISNUMBER(G320),ISNUMBER(I320)),I320-G320,"")</f>
        <v>0</v>
      </c>
      <c r="K320" s="10" t="n">
        <f aca="false">IF(H320="Réalisé",1,IF(H320="Partiel",0.5,IF(H320="Prévu","",0)))</f>
        <v>1</v>
      </c>
      <c r="L320" s="17"/>
      <c r="M320" s="17"/>
      <c r="N320" s="17"/>
    </row>
    <row r="321" customFormat="false" ht="15" hidden="false" customHeight="false" outlineLevel="0" collapsed="false">
      <c r="A321" s="4" t="n">
        <v>587</v>
      </c>
      <c r="B321" s="15" t="n">
        <v>46297</v>
      </c>
      <c r="C321" s="4" t="s">
        <v>27</v>
      </c>
      <c r="D321" s="4" t="s">
        <v>135</v>
      </c>
      <c r="E321" s="17" t="s">
        <v>136</v>
      </c>
      <c r="F321" s="4" t="s">
        <v>106</v>
      </c>
      <c r="G321" s="11" t="n">
        <v>45</v>
      </c>
      <c r="H321" s="4" t="s">
        <v>123</v>
      </c>
      <c r="I321" s="11"/>
      <c r="J321" s="11" t="str">
        <f aca="false">IF(AND(ISNUMBER(G321),ISNUMBER(I321)),I321-G321,"")</f>
        <v/>
      </c>
      <c r="K321" s="10" t="n">
        <f aca="false">IF(H321="Réalisé",1,IF(H321="Partiel",0.5,IF(H321="Prévu","",0)))</f>
        <v>0</v>
      </c>
      <c r="L321" s="17"/>
      <c r="M321" s="17" t="s">
        <v>152</v>
      </c>
      <c r="N321" s="17" t="s">
        <v>138</v>
      </c>
    </row>
    <row r="322" customFormat="false" ht="23.85" hidden="false" customHeight="false" outlineLevel="0" collapsed="false">
      <c r="A322" s="4" t="n">
        <v>588</v>
      </c>
      <c r="B322" s="15" t="n">
        <v>46297</v>
      </c>
      <c r="C322" s="4" t="s">
        <v>26</v>
      </c>
      <c r="D322" s="4" t="s">
        <v>110</v>
      </c>
      <c r="E322" s="17" t="s">
        <v>111</v>
      </c>
      <c r="F322" s="4" t="s">
        <v>106</v>
      </c>
      <c r="G322" s="11" t="n">
        <v>60</v>
      </c>
      <c r="H322" s="4" t="s">
        <v>113</v>
      </c>
      <c r="I322" s="11" t="n">
        <v>35</v>
      </c>
      <c r="J322" s="11" t="n">
        <f aca="false">IF(AND(ISNUMBER(G322),ISNUMBER(I322)),I322-G322,"")</f>
        <v>-25</v>
      </c>
      <c r="K322" s="10" t="n">
        <f aca="false">IF(H322="Réalisé",1,IF(H322="Partiel",0.5,IF(H322="Prévu","",0)))</f>
        <v>1</v>
      </c>
      <c r="L322" s="17"/>
      <c r="M322" s="17"/>
      <c r="N322" s="17" t="s">
        <v>109</v>
      </c>
    </row>
    <row r="323" customFormat="false" ht="15" hidden="false" customHeight="false" outlineLevel="0" collapsed="false">
      <c r="A323" s="4" t="n">
        <v>589</v>
      </c>
      <c r="B323" s="15" t="n">
        <v>46297</v>
      </c>
      <c r="C323" s="4" t="s">
        <v>26</v>
      </c>
      <c r="D323" s="4" t="s">
        <v>142</v>
      </c>
      <c r="E323" s="17" t="s">
        <v>143</v>
      </c>
      <c r="F323" s="4" t="s">
        <v>106</v>
      </c>
      <c r="G323" s="11" t="n">
        <v>45</v>
      </c>
      <c r="H323" s="4" t="s">
        <v>119</v>
      </c>
      <c r="I323" s="11"/>
      <c r="J323" s="11" t="str">
        <f aca="false">IF(AND(ISNUMBER(G323),ISNUMBER(I323)),I323-G323,"")</f>
        <v/>
      </c>
      <c r="K323" s="10" t="n">
        <f aca="false">IF(H323="Réalisé",1,IF(H323="Partiel",0.5,IF(H323="Prévu","",0)))</f>
        <v>0</v>
      </c>
      <c r="L323" s="17"/>
      <c r="M323" s="17" t="s">
        <v>146</v>
      </c>
      <c r="N323" s="17"/>
    </row>
    <row r="324" customFormat="false" ht="23.85" hidden="false" customHeight="false" outlineLevel="0" collapsed="false">
      <c r="A324" s="4" t="n">
        <v>590</v>
      </c>
      <c r="B324" s="15" t="n">
        <v>46297</v>
      </c>
      <c r="C324" s="4" t="s">
        <v>26</v>
      </c>
      <c r="D324" s="4" t="s">
        <v>104</v>
      </c>
      <c r="E324" s="17" t="s">
        <v>105</v>
      </c>
      <c r="F324" s="4" t="s">
        <v>112</v>
      </c>
      <c r="G324" s="11" t="n">
        <v>120</v>
      </c>
      <c r="H324" s="4" t="s">
        <v>113</v>
      </c>
      <c r="I324" s="11" t="n">
        <v>171</v>
      </c>
      <c r="J324" s="11" t="n">
        <f aca="false">IF(AND(ISNUMBER(G324),ISNUMBER(I324)),I324-G324,"")</f>
        <v>51</v>
      </c>
      <c r="K324" s="10" t="n">
        <f aca="false">IF(H324="Réalisé",1,IF(H324="Partiel",0.5,IF(H324="Prévu","",0)))</f>
        <v>1</v>
      </c>
      <c r="L324" s="17"/>
      <c r="M324" s="17"/>
      <c r="N324" s="17" t="s">
        <v>109</v>
      </c>
    </row>
    <row r="325" customFormat="false" ht="23.85" hidden="false" customHeight="false" outlineLevel="0" collapsed="false">
      <c r="A325" s="4" t="n">
        <v>591</v>
      </c>
      <c r="B325" s="15" t="n">
        <v>46298</v>
      </c>
      <c r="C325" s="4" t="s">
        <v>26</v>
      </c>
      <c r="D325" s="4" t="s">
        <v>104</v>
      </c>
      <c r="E325" s="17" t="s">
        <v>105</v>
      </c>
      <c r="F325" s="4" t="s">
        <v>112</v>
      </c>
      <c r="G325" s="11" t="n">
        <v>120</v>
      </c>
      <c r="H325" s="4" t="s">
        <v>134</v>
      </c>
      <c r="I325" s="11" t="n">
        <v>110</v>
      </c>
      <c r="J325" s="11" t="n">
        <f aca="false">IF(AND(ISNUMBER(G325),ISNUMBER(I325)),I325-G325,"")</f>
        <v>-10</v>
      </c>
      <c r="K325" s="10" t="n">
        <f aca="false">IF(H325="Réalisé",1,IF(H325="Partiel",0.5,IF(H325="Prévu","",0)))</f>
        <v>0.5</v>
      </c>
      <c r="L325" s="17"/>
      <c r="M325" s="17"/>
      <c r="N325" s="17" t="s">
        <v>109</v>
      </c>
    </row>
    <row r="326" customFormat="false" ht="15" hidden="false" customHeight="false" outlineLevel="0" collapsed="false">
      <c r="A326" s="4" t="n">
        <v>592</v>
      </c>
      <c r="B326" s="15" t="n">
        <v>46298</v>
      </c>
      <c r="C326" s="4" t="s">
        <v>24</v>
      </c>
      <c r="D326" s="4" t="s">
        <v>126</v>
      </c>
      <c r="E326" s="17" t="s">
        <v>127</v>
      </c>
      <c r="F326" s="4" t="s">
        <v>106</v>
      </c>
      <c r="G326" s="11" t="n">
        <v>20</v>
      </c>
      <c r="H326" s="4" t="s">
        <v>134</v>
      </c>
      <c r="I326" s="11" t="n">
        <v>9</v>
      </c>
      <c r="J326" s="11" t="n">
        <f aca="false">IF(AND(ISNUMBER(G326),ISNUMBER(I326)),I326-G326,"")</f>
        <v>-11</v>
      </c>
      <c r="K326" s="10" t="n">
        <f aca="false">IF(H326="Réalisé",1,IF(H326="Partiel",0.5,IF(H326="Prévu","",0)))</f>
        <v>0.5</v>
      </c>
      <c r="L326" s="17"/>
      <c r="M326" s="17"/>
      <c r="N326" s="17" t="s">
        <v>128</v>
      </c>
    </row>
    <row r="327" customFormat="false" ht="23.85" hidden="false" customHeight="false" outlineLevel="0" collapsed="false">
      <c r="A327" s="4" t="n">
        <v>593</v>
      </c>
      <c r="B327" s="15" t="n">
        <v>46298</v>
      </c>
      <c r="C327" s="4" t="s">
        <v>26</v>
      </c>
      <c r="D327" s="4" t="s">
        <v>110</v>
      </c>
      <c r="E327" s="17" t="s">
        <v>111</v>
      </c>
      <c r="F327" s="4" t="s">
        <v>122</v>
      </c>
      <c r="G327" s="11" t="n">
        <v>60</v>
      </c>
      <c r="H327" s="4" t="s">
        <v>119</v>
      </c>
      <c r="I327" s="11"/>
      <c r="J327" s="11" t="str">
        <f aca="false">IF(AND(ISNUMBER(G327),ISNUMBER(I327)),I327-G327,"")</f>
        <v/>
      </c>
      <c r="K327" s="10" t="n">
        <f aca="false">IF(H327="Réalisé",1,IF(H327="Partiel",0.5,IF(H327="Prévu","",0)))</f>
        <v>0</v>
      </c>
      <c r="L327" s="17"/>
      <c r="M327" s="17" t="s">
        <v>146</v>
      </c>
      <c r="N327" s="17" t="s">
        <v>109</v>
      </c>
    </row>
    <row r="328" customFormat="false" ht="15" hidden="false" customHeight="false" outlineLevel="0" collapsed="false">
      <c r="A328" s="4" t="n">
        <v>594</v>
      </c>
      <c r="B328" s="15" t="n">
        <v>46299</v>
      </c>
      <c r="C328" s="4" t="s">
        <v>30</v>
      </c>
      <c r="D328" s="4" t="s">
        <v>120</v>
      </c>
      <c r="E328" s="17" t="s">
        <v>121</v>
      </c>
      <c r="F328" s="4" t="s">
        <v>122</v>
      </c>
      <c r="G328" s="11" t="n">
        <v>30</v>
      </c>
      <c r="H328" s="4" t="s">
        <v>107</v>
      </c>
      <c r="I328" s="11"/>
      <c r="J328" s="11" t="str">
        <f aca="false">IF(AND(ISNUMBER(G328),ISNUMBER(I328)),I328-G328,"")</f>
        <v/>
      </c>
      <c r="K328" s="10" t="n">
        <f aca="false">IF(H328="Réalisé",1,IF(H328="Partiel",0.5,IF(H328="Prévu","",0)))</f>
        <v>0</v>
      </c>
      <c r="L328" s="17"/>
      <c r="M328" s="17" t="s">
        <v>116</v>
      </c>
      <c r="N328" s="17"/>
    </row>
    <row r="329" customFormat="false" ht="15" hidden="false" customHeight="false" outlineLevel="0" collapsed="false">
      <c r="A329" s="4" t="n">
        <v>595</v>
      </c>
      <c r="B329" s="15" t="n">
        <v>46299</v>
      </c>
      <c r="C329" s="4" t="s">
        <v>26</v>
      </c>
      <c r="D329" s="4" t="s">
        <v>140</v>
      </c>
      <c r="E329" s="17" t="s">
        <v>141</v>
      </c>
      <c r="F329" s="4" t="s">
        <v>106</v>
      </c>
      <c r="G329" s="11" t="n">
        <v>60</v>
      </c>
      <c r="H329" s="4" t="s">
        <v>113</v>
      </c>
      <c r="I329" s="11" t="n">
        <v>61</v>
      </c>
      <c r="J329" s="11" t="n">
        <f aca="false">IF(AND(ISNUMBER(G329),ISNUMBER(I329)),I329-G329,"")</f>
        <v>1</v>
      </c>
      <c r="K329" s="10" t="n">
        <f aca="false">IF(H329="Réalisé",1,IF(H329="Partiel",0.5,IF(H329="Prévu","",0)))</f>
        <v>1</v>
      </c>
      <c r="L329" s="17"/>
      <c r="M329" s="17"/>
      <c r="N329" s="17"/>
    </row>
    <row r="330" customFormat="false" ht="15" hidden="false" customHeight="false" outlineLevel="0" collapsed="false">
      <c r="A330" s="4" t="n">
        <v>596</v>
      </c>
      <c r="B330" s="15" t="n">
        <v>46299</v>
      </c>
      <c r="C330" s="4" t="s">
        <v>28</v>
      </c>
      <c r="D330" s="4" t="s">
        <v>114</v>
      </c>
      <c r="E330" s="17" t="s">
        <v>115</v>
      </c>
      <c r="F330" s="4" t="s">
        <v>106</v>
      </c>
      <c r="G330" s="11" t="n">
        <v>30</v>
      </c>
      <c r="H330" s="4" t="s">
        <v>123</v>
      </c>
      <c r="I330" s="11"/>
      <c r="J330" s="11" t="str">
        <f aca="false">IF(AND(ISNUMBER(G330),ISNUMBER(I330)),I330-G330,"")</f>
        <v/>
      </c>
      <c r="K330" s="10" t="n">
        <f aca="false">IF(H330="Réalisé",1,IF(H330="Partiel",0.5,IF(H330="Prévu","",0)))</f>
        <v>0</v>
      </c>
      <c r="L330" s="17"/>
      <c r="M330" s="17" t="s">
        <v>116</v>
      </c>
      <c r="N330" s="17"/>
    </row>
    <row r="331" customFormat="false" ht="15" hidden="false" customHeight="false" outlineLevel="0" collapsed="false">
      <c r="A331" s="4" t="n">
        <v>597</v>
      </c>
      <c r="B331" s="15" t="n">
        <v>46299</v>
      </c>
      <c r="C331" s="4" t="s">
        <v>26</v>
      </c>
      <c r="D331" s="4" t="s">
        <v>142</v>
      </c>
      <c r="E331" s="17" t="s">
        <v>143</v>
      </c>
      <c r="F331" s="4" t="s">
        <v>122</v>
      </c>
      <c r="G331" s="11" t="n">
        <v>45</v>
      </c>
      <c r="H331" s="4" t="s">
        <v>123</v>
      </c>
      <c r="I331" s="11"/>
      <c r="J331" s="11" t="str">
        <f aca="false">IF(AND(ISNUMBER(G331),ISNUMBER(I331)),I331-G331,"")</f>
        <v/>
      </c>
      <c r="K331" s="10" t="n">
        <f aca="false">IF(H331="Réalisé",1,IF(H331="Partiel",0.5,IF(H331="Prévu","",0)))</f>
        <v>0</v>
      </c>
      <c r="L331" s="17"/>
      <c r="M331" s="17" t="s">
        <v>146</v>
      </c>
      <c r="N331" s="17"/>
    </row>
    <row r="332" customFormat="false" ht="15" hidden="false" customHeight="false" outlineLevel="0" collapsed="false">
      <c r="A332" s="4" t="n">
        <v>598</v>
      </c>
      <c r="B332" s="15" t="n">
        <v>46299</v>
      </c>
      <c r="C332" s="4" t="s">
        <v>27</v>
      </c>
      <c r="D332" s="4" t="s">
        <v>129</v>
      </c>
      <c r="E332" s="17" t="s">
        <v>130</v>
      </c>
      <c r="F332" s="4" t="s">
        <v>106</v>
      </c>
      <c r="G332" s="11" t="n">
        <v>60</v>
      </c>
      <c r="H332" s="4" t="s">
        <v>134</v>
      </c>
      <c r="I332" s="11" t="n">
        <v>36</v>
      </c>
      <c r="J332" s="11" t="n">
        <f aca="false">IF(AND(ISNUMBER(G332),ISNUMBER(I332)),I332-G332,"")</f>
        <v>-24</v>
      </c>
      <c r="K332" s="10" t="n">
        <f aca="false">IF(H332="Réalisé",1,IF(H332="Partiel",0.5,IF(H332="Prévu","",0)))</f>
        <v>0.5</v>
      </c>
      <c r="L332" s="17"/>
      <c r="M332" s="17"/>
      <c r="N332" s="17"/>
    </row>
    <row r="333" customFormat="false" ht="15" hidden="false" customHeight="false" outlineLevel="0" collapsed="false">
      <c r="A333" s="4" t="n">
        <v>599</v>
      </c>
      <c r="B333" s="15" t="n">
        <v>46299</v>
      </c>
      <c r="C333" s="4" t="s">
        <v>24</v>
      </c>
      <c r="D333" s="4" t="s">
        <v>132</v>
      </c>
      <c r="E333" s="17" t="s">
        <v>133</v>
      </c>
      <c r="F333" s="4" t="s">
        <v>122</v>
      </c>
      <c r="G333" s="11" t="n">
        <v>15</v>
      </c>
      <c r="H333" s="4" t="s">
        <v>123</v>
      </c>
      <c r="I333" s="11"/>
      <c r="J333" s="11" t="str">
        <f aca="false">IF(AND(ISNUMBER(G333),ISNUMBER(I333)),I333-G333,"")</f>
        <v/>
      </c>
      <c r="K333" s="10" t="n">
        <f aca="false">IF(H333="Réalisé",1,IF(H333="Partiel",0.5,IF(H333="Prévu","",0)))</f>
        <v>0</v>
      </c>
      <c r="L333" s="17"/>
      <c r="M333" s="17" t="s">
        <v>150</v>
      </c>
      <c r="N333" s="17"/>
    </row>
    <row r="334" customFormat="false" ht="23.85" hidden="false" customHeight="false" outlineLevel="0" collapsed="false">
      <c r="A334" s="4" t="n">
        <v>600</v>
      </c>
      <c r="B334" s="15" t="n">
        <v>46299</v>
      </c>
      <c r="C334" s="4" t="s">
        <v>26</v>
      </c>
      <c r="D334" s="4" t="s">
        <v>110</v>
      </c>
      <c r="E334" s="17" t="s">
        <v>111</v>
      </c>
      <c r="F334" s="4" t="s">
        <v>112</v>
      </c>
      <c r="G334" s="11" t="n">
        <v>60</v>
      </c>
      <c r="H334" s="4" t="s">
        <v>107</v>
      </c>
      <c r="I334" s="11"/>
      <c r="J334" s="11" t="str">
        <f aca="false">IF(AND(ISNUMBER(G334),ISNUMBER(I334)),I334-G334,"")</f>
        <v/>
      </c>
      <c r="K334" s="10" t="n">
        <f aca="false">IF(H334="Réalisé",1,IF(H334="Partiel",0.5,IF(H334="Prévu","",0)))</f>
        <v>0</v>
      </c>
      <c r="L334" s="17"/>
      <c r="M334" s="17" t="s">
        <v>146</v>
      </c>
      <c r="N334" s="17" t="s">
        <v>109</v>
      </c>
    </row>
    <row r="335" customFormat="false" ht="15" hidden="false" customHeight="false" outlineLevel="0" collapsed="false">
      <c r="A335" s="4" t="n">
        <v>601</v>
      </c>
      <c r="B335" s="15" t="n">
        <v>46300</v>
      </c>
      <c r="C335" s="4" t="s">
        <v>24</v>
      </c>
      <c r="D335" s="4" t="s">
        <v>132</v>
      </c>
      <c r="E335" s="17" t="s">
        <v>133</v>
      </c>
      <c r="F335" s="4" t="s">
        <v>106</v>
      </c>
      <c r="G335" s="11" t="n">
        <v>15</v>
      </c>
      <c r="H335" s="4" t="s">
        <v>119</v>
      </c>
      <c r="I335" s="11"/>
      <c r="J335" s="11" t="str">
        <f aca="false">IF(AND(ISNUMBER(G335),ISNUMBER(I335)),I335-G335,"")</f>
        <v/>
      </c>
      <c r="K335" s="10" t="n">
        <f aca="false">IF(H335="Réalisé",1,IF(H335="Partiel",0.5,IF(H335="Prévu","",0)))</f>
        <v>0</v>
      </c>
      <c r="L335" s="17"/>
      <c r="M335" s="17" t="s">
        <v>116</v>
      </c>
      <c r="N335" s="17"/>
    </row>
    <row r="336" customFormat="false" ht="15" hidden="false" customHeight="false" outlineLevel="0" collapsed="false">
      <c r="A336" s="4" t="n">
        <v>602</v>
      </c>
      <c r="B336" s="15" t="n">
        <v>46300</v>
      </c>
      <c r="C336" s="4" t="s">
        <v>25</v>
      </c>
      <c r="D336" s="4" t="s">
        <v>117</v>
      </c>
      <c r="E336" s="17" t="s">
        <v>118</v>
      </c>
      <c r="F336" s="4" t="s">
        <v>106</v>
      </c>
      <c r="G336" s="11" t="n">
        <v>40</v>
      </c>
      <c r="H336" s="4" t="s">
        <v>119</v>
      </c>
      <c r="I336" s="11"/>
      <c r="J336" s="11" t="str">
        <f aca="false">IF(AND(ISNUMBER(G336),ISNUMBER(I336)),I336-G336,"")</f>
        <v/>
      </c>
      <c r="K336" s="10" t="n">
        <f aca="false">IF(H336="Réalisé",1,IF(H336="Partiel",0.5,IF(H336="Prévu","",0)))</f>
        <v>0</v>
      </c>
      <c r="L336" s="17"/>
      <c r="M336" s="17" t="s">
        <v>116</v>
      </c>
      <c r="N336" s="17"/>
    </row>
    <row r="337" customFormat="false" ht="15" hidden="false" customHeight="false" outlineLevel="0" collapsed="false">
      <c r="A337" s="4" t="n">
        <v>603</v>
      </c>
      <c r="B337" s="15" t="n">
        <v>46300</v>
      </c>
      <c r="C337" s="4" t="s">
        <v>29</v>
      </c>
      <c r="D337" s="4" t="s">
        <v>124</v>
      </c>
      <c r="E337" s="17" t="s">
        <v>125</v>
      </c>
      <c r="F337" s="4" t="s">
        <v>112</v>
      </c>
      <c r="G337" s="11" t="n">
        <v>20</v>
      </c>
      <c r="H337" s="4" t="s">
        <v>113</v>
      </c>
      <c r="I337" s="11" t="n">
        <v>38</v>
      </c>
      <c r="J337" s="11" t="n">
        <f aca="false">IF(AND(ISNUMBER(G337),ISNUMBER(I337)),I337-G337,"")</f>
        <v>18</v>
      </c>
      <c r="K337" s="10" t="n">
        <f aca="false">IF(H337="Réalisé",1,IF(H337="Partiel",0.5,IF(H337="Prévu","",0)))</f>
        <v>1</v>
      </c>
      <c r="L337" s="17"/>
      <c r="M337" s="17"/>
      <c r="N337" s="17"/>
    </row>
    <row r="338" customFormat="false" ht="15" hidden="false" customHeight="false" outlineLevel="0" collapsed="false">
      <c r="A338" s="4" t="n">
        <v>604</v>
      </c>
      <c r="B338" s="15" t="n">
        <v>46300</v>
      </c>
      <c r="C338" s="4" t="s">
        <v>27</v>
      </c>
      <c r="D338" s="4" t="s">
        <v>135</v>
      </c>
      <c r="E338" s="17" t="s">
        <v>136</v>
      </c>
      <c r="F338" s="4" t="s">
        <v>112</v>
      </c>
      <c r="G338" s="11" t="n">
        <v>45</v>
      </c>
      <c r="H338" s="4" t="s">
        <v>119</v>
      </c>
      <c r="I338" s="11"/>
      <c r="J338" s="11" t="str">
        <f aca="false">IF(AND(ISNUMBER(G338),ISNUMBER(I338)),I338-G338,"")</f>
        <v/>
      </c>
      <c r="K338" s="10" t="n">
        <f aca="false">IF(H338="Réalisé",1,IF(H338="Partiel",0.5,IF(H338="Prévu","",0)))</f>
        <v>0</v>
      </c>
      <c r="L338" s="17"/>
      <c r="M338" s="17" t="s">
        <v>116</v>
      </c>
      <c r="N338" s="17" t="s">
        <v>138</v>
      </c>
    </row>
    <row r="339" customFormat="false" ht="15" hidden="false" customHeight="false" outlineLevel="0" collapsed="false">
      <c r="A339" s="4" t="n">
        <v>605</v>
      </c>
      <c r="B339" s="15" t="n">
        <v>46300</v>
      </c>
      <c r="C339" s="4" t="s">
        <v>26</v>
      </c>
      <c r="D339" s="4" t="s">
        <v>140</v>
      </c>
      <c r="E339" s="17" t="s">
        <v>141</v>
      </c>
      <c r="F339" s="4" t="s">
        <v>112</v>
      </c>
      <c r="G339" s="11" t="n">
        <v>60</v>
      </c>
      <c r="H339" s="4" t="s">
        <v>134</v>
      </c>
      <c r="I339" s="11" t="n">
        <v>42</v>
      </c>
      <c r="J339" s="11" t="n">
        <f aca="false">IF(AND(ISNUMBER(G339),ISNUMBER(I339)),I339-G339,"")</f>
        <v>-18</v>
      </c>
      <c r="K339" s="10" t="n">
        <f aca="false">IF(H339="Réalisé",1,IF(H339="Partiel",0.5,IF(H339="Prévu","",0)))</f>
        <v>0.5</v>
      </c>
      <c r="L339" s="17" t="s">
        <v>151</v>
      </c>
      <c r="M339" s="17"/>
      <c r="N339" s="17"/>
    </row>
    <row r="340" customFormat="false" ht="15" hidden="false" customHeight="false" outlineLevel="0" collapsed="false">
      <c r="A340" s="4" t="n">
        <v>606</v>
      </c>
      <c r="B340" s="15" t="n">
        <v>46301</v>
      </c>
      <c r="C340" s="4" t="s">
        <v>25</v>
      </c>
      <c r="D340" s="4" t="s">
        <v>147</v>
      </c>
      <c r="E340" s="17" t="s">
        <v>148</v>
      </c>
      <c r="F340" s="4" t="s">
        <v>122</v>
      </c>
      <c r="G340" s="11" t="n">
        <v>30</v>
      </c>
      <c r="H340" s="4" t="s">
        <v>113</v>
      </c>
      <c r="I340" s="11" t="n">
        <v>30</v>
      </c>
      <c r="J340" s="11" t="n">
        <f aca="false">IF(AND(ISNUMBER(G340),ISNUMBER(I340)),I340-G340,"")</f>
        <v>0</v>
      </c>
      <c r="K340" s="10" t="n">
        <f aca="false">IF(H340="Réalisé",1,IF(H340="Partiel",0.5,IF(H340="Prévu","",0)))</f>
        <v>1</v>
      </c>
      <c r="L340" s="17"/>
      <c r="M340" s="17"/>
      <c r="N340" s="17" t="s">
        <v>149</v>
      </c>
    </row>
    <row r="341" customFormat="false" ht="15" hidden="false" customHeight="false" outlineLevel="0" collapsed="false">
      <c r="A341" s="4" t="n">
        <v>607</v>
      </c>
      <c r="B341" s="15" t="n">
        <v>46301</v>
      </c>
      <c r="C341" s="4" t="s">
        <v>30</v>
      </c>
      <c r="D341" s="4" t="s">
        <v>120</v>
      </c>
      <c r="E341" s="17" t="s">
        <v>121</v>
      </c>
      <c r="F341" s="4" t="s">
        <v>122</v>
      </c>
      <c r="G341" s="11" t="n">
        <v>30</v>
      </c>
      <c r="H341" s="4" t="s">
        <v>119</v>
      </c>
      <c r="I341" s="11"/>
      <c r="J341" s="11" t="str">
        <f aca="false">IF(AND(ISNUMBER(G341),ISNUMBER(I341)),I341-G341,"")</f>
        <v/>
      </c>
      <c r="K341" s="10" t="n">
        <f aca="false">IF(H341="Réalisé",1,IF(H341="Partiel",0.5,IF(H341="Prévu","",0)))</f>
        <v>0</v>
      </c>
      <c r="L341" s="17"/>
      <c r="M341" s="17" t="s">
        <v>150</v>
      </c>
      <c r="N341" s="17"/>
    </row>
    <row r="342" customFormat="false" ht="23.85" hidden="false" customHeight="false" outlineLevel="0" collapsed="false">
      <c r="A342" s="4" t="n">
        <v>608</v>
      </c>
      <c r="B342" s="15" t="n">
        <v>46301</v>
      </c>
      <c r="C342" s="4" t="s">
        <v>26</v>
      </c>
      <c r="D342" s="4" t="s">
        <v>110</v>
      </c>
      <c r="E342" s="17" t="s">
        <v>111</v>
      </c>
      <c r="F342" s="4" t="s">
        <v>112</v>
      </c>
      <c r="G342" s="11" t="n">
        <v>60</v>
      </c>
      <c r="H342" s="4" t="s">
        <v>113</v>
      </c>
      <c r="I342" s="11" t="n">
        <v>29</v>
      </c>
      <c r="J342" s="11" t="n">
        <f aca="false">IF(AND(ISNUMBER(G342),ISNUMBER(I342)),I342-G342,"")</f>
        <v>-31</v>
      </c>
      <c r="K342" s="10" t="n">
        <f aca="false">IF(H342="Réalisé",1,IF(H342="Partiel",0.5,IF(H342="Prévu","",0)))</f>
        <v>1</v>
      </c>
      <c r="L342" s="17"/>
      <c r="M342" s="17"/>
      <c r="N342" s="17" t="s">
        <v>109</v>
      </c>
    </row>
    <row r="343" customFormat="false" ht="15" hidden="false" customHeight="false" outlineLevel="0" collapsed="false">
      <c r="A343" s="4" t="n">
        <v>609</v>
      </c>
      <c r="B343" s="15" t="n">
        <v>46301</v>
      </c>
      <c r="C343" s="4" t="s">
        <v>27</v>
      </c>
      <c r="D343" s="4" t="s">
        <v>135</v>
      </c>
      <c r="E343" s="17" t="s">
        <v>136</v>
      </c>
      <c r="F343" s="4" t="s">
        <v>122</v>
      </c>
      <c r="G343" s="11" t="n">
        <v>45</v>
      </c>
      <c r="H343" s="4" t="s">
        <v>107</v>
      </c>
      <c r="I343" s="11"/>
      <c r="J343" s="11" t="str">
        <f aca="false">IF(AND(ISNUMBER(G343),ISNUMBER(I343)),I343-G343,"")</f>
        <v/>
      </c>
      <c r="K343" s="10" t="n">
        <f aca="false">IF(H343="Réalisé",1,IF(H343="Partiel",0.5,IF(H343="Prévu","",0)))</f>
        <v>0</v>
      </c>
      <c r="L343" s="17"/>
      <c r="M343" s="17" t="s">
        <v>146</v>
      </c>
      <c r="N343" s="17" t="s">
        <v>138</v>
      </c>
    </row>
    <row r="344" customFormat="false" ht="15" hidden="false" customHeight="false" outlineLevel="0" collapsed="false">
      <c r="A344" s="4" t="n">
        <v>610</v>
      </c>
      <c r="B344" s="15" t="n">
        <v>46301</v>
      </c>
      <c r="C344" s="4" t="s">
        <v>28</v>
      </c>
      <c r="D344" s="4" t="s">
        <v>114</v>
      </c>
      <c r="E344" s="17" t="s">
        <v>115</v>
      </c>
      <c r="F344" s="4" t="s">
        <v>106</v>
      </c>
      <c r="G344" s="11" t="n">
        <v>30</v>
      </c>
      <c r="H344" s="4" t="s">
        <v>113</v>
      </c>
      <c r="I344" s="11" t="n">
        <v>29</v>
      </c>
      <c r="J344" s="11" t="n">
        <f aca="false">IF(AND(ISNUMBER(G344),ISNUMBER(I344)),I344-G344,"")</f>
        <v>-1</v>
      </c>
      <c r="K344" s="10" t="n">
        <f aca="false">IF(H344="Réalisé",1,IF(H344="Partiel",0.5,IF(H344="Prévu","",0)))</f>
        <v>1</v>
      </c>
      <c r="L344" s="17"/>
      <c r="M344" s="17"/>
      <c r="N344" s="17"/>
    </row>
  </sheetData>
  <autoFilter ref="A1:N3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42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36"/>
    <col collapsed="false" customWidth="true" hidden="false" outlineLevel="0" max="10" min="10" style="0" width="9"/>
    <col collapsed="false" customWidth="true" hidden="false" outlineLevel="0" max="11" min="11" style="0" width="18"/>
  </cols>
  <sheetData>
    <row r="1" customFormat="false" ht="30" hidden="false" customHeight="true" outlineLevel="0" collapsed="false">
      <c r="A1" s="9" t="s">
        <v>92</v>
      </c>
      <c r="B1" s="9" t="s">
        <v>46</v>
      </c>
      <c r="C1" s="9" t="s">
        <v>20</v>
      </c>
      <c r="D1" s="9" t="s">
        <v>93</v>
      </c>
      <c r="E1" s="9" t="s">
        <v>153</v>
      </c>
      <c r="F1" s="9" t="s">
        <v>154</v>
      </c>
      <c r="G1" s="9" t="s">
        <v>78</v>
      </c>
      <c r="H1" s="9" t="s">
        <v>79</v>
      </c>
      <c r="I1" s="9" t="s">
        <v>101</v>
      </c>
      <c r="J1" s="9" t="s">
        <v>155</v>
      </c>
      <c r="K1" s="9" t="s">
        <v>156</v>
      </c>
    </row>
    <row r="2" customFormat="false" ht="15" hidden="false" customHeight="false" outlineLevel="0" collapsed="false">
      <c r="A2" s="4" t="n">
        <v>141</v>
      </c>
      <c r="B2" s="15" t="n">
        <v>46216</v>
      </c>
      <c r="C2" s="4" t="s">
        <v>26</v>
      </c>
      <c r="D2" s="4" t="s">
        <v>110</v>
      </c>
      <c r="E2" s="17" t="s">
        <v>111</v>
      </c>
      <c r="F2" s="11" t="n">
        <v>63</v>
      </c>
      <c r="G2" s="4"/>
      <c r="H2" s="4"/>
      <c r="I2" s="17"/>
      <c r="J2" s="4" t="s">
        <v>71</v>
      </c>
      <c r="K2" s="4" t="s">
        <v>110</v>
      </c>
    </row>
    <row r="3" customFormat="false" ht="15" hidden="false" customHeight="false" outlineLevel="0" collapsed="false">
      <c r="A3" s="4" t="n">
        <v>142</v>
      </c>
      <c r="B3" s="15" t="n">
        <v>46218</v>
      </c>
      <c r="C3" s="4" t="s">
        <v>30</v>
      </c>
      <c r="D3" s="4" t="s">
        <v>120</v>
      </c>
      <c r="E3" s="17" t="s">
        <v>121</v>
      </c>
      <c r="F3" s="11" t="n">
        <v>31</v>
      </c>
      <c r="G3" s="4"/>
      <c r="H3" s="4"/>
      <c r="I3" s="17"/>
      <c r="J3" s="4" t="s">
        <v>71</v>
      </c>
      <c r="K3" s="4"/>
    </row>
    <row r="4" customFormat="false" ht="15" hidden="false" customHeight="false" outlineLevel="0" collapsed="false">
      <c r="A4" s="4" t="n">
        <v>143</v>
      </c>
      <c r="B4" s="15" t="n">
        <v>46218</v>
      </c>
      <c r="C4" s="4" t="s">
        <v>26</v>
      </c>
      <c r="D4" s="4" t="s">
        <v>110</v>
      </c>
      <c r="E4" s="17" t="s">
        <v>111</v>
      </c>
      <c r="F4" s="11" t="n">
        <v>116</v>
      </c>
      <c r="G4" s="4"/>
      <c r="H4" s="4"/>
      <c r="I4" s="17"/>
      <c r="J4" s="4" t="s">
        <v>71</v>
      </c>
      <c r="K4" s="4" t="s">
        <v>110</v>
      </c>
    </row>
    <row r="5" customFormat="false" ht="15" hidden="false" customHeight="false" outlineLevel="0" collapsed="false">
      <c r="A5" s="4" t="n">
        <v>144</v>
      </c>
      <c r="B5" s="15" t="n">
        <v>46218</v>
      </c>
      <c r="C5" s="4" t="s">
        <v>25</v>
      </c>
      <c r="D5" s="4" t="s">
        <v>117</v>
      </c>
      <c r="E5" s="17" t="s">
        <v>118</v>
      </c>
      <c r="F5" s="11" t="n">
        <v>35</v>
      </c>
      <c r="G5" s="4"/>
      <c r="H5" s="4"/>
      <c r="I5" s="17"/>
      <c r="J5" s="4" t="s">
        <v>71</v>
      </c>
      <c r="K5" s="4"/>
    </row>
    <row r="6" customFormat="false" ht="15" hidden="false" customHeight="false" outlineLevel="0" collapsed="false">
      <c r="A6" s="4" t="n">
        <v>145</v>
      </c>
      <c r="B6" s="15" t="n">
        <v>46219</v>
      </c>
      <c r="C6" s="4" t="s">
        <v>28</v>
      </c>
      <c r="D6" s="4" t="s">
        <v>114</v>
      </c>
      <c r="E6" s="17" t="s">
        <v>115</v>
      </c>
      <c r="F6" s="11" t="n">
        <v>15</v>
      </c>
      <c r="G6" s="4"/>
      <c r="H6" s="4"/>
      <c r="I6" s="17"/>
      <c r="J6" s="4" t="s">
        <v>71</v>
      </c>
      <c r="K6" s="4"/>
    </row>
    <row r="7" customFormat="false" ht="15" hidden="false" customHeight="false" outlineLevel="0" collapsed="false">
      <c r="A7" s="4" t="n">
        <v>146</v>
      </c>
      <c r="B7" s="15" t="n">
        <v>46219</v>
      </c>
      <c r="C7" s="4" t="s">
        <v>24</v>
      </c>
      <c r="D7" s="4" t="s">
        <v>126</v>
      </c>
      <c r="E7" s="17" t="s">
        <v>127</v>
      </c>
      <c r="F7" s="11" t="n">
        <v>27</v>
      </c>
      <c r="G7" s="4"/>
      <c r="H7" s="4"/>
      <c r="I7" s="17"/>
      <c r="J7" s="4" t="s">
        <v>71</v>
      </c>
      <c r="K7" s="4"/>
    </row>
    <row r="8" customFormat="false" ht="15" hidden="false" customHeight="false" outlineLevel="0" collapsed="false">
      <c r="A8" s="4" t="n">
        <v>147</v>
      </c>
      <c r="B8" s="15" t="n">
        <v>46219</v>
      </c>
      <c r="C8" s="4" t="s">
        <v>24</v>
      </c>
      <c r="D8" s="4" t="s">
        <v>132</v>
      </c>
      <c r="E8" s="17" t="s">
        <v>133</v>
      </c>
      <c r="F8" s="11" t="n">
        <v>17</v>
      </c>
      <c r="G8" s="4"/>
      <c r="H8" s="4"/>
      <c r="I8" s="17"/>
      <c r="J8" s="4" t="s">
        <v>71</v>
      </c>
      <c r="K8" s="4"/>
    </row>
    <row r="9" customFormat="false" ht="15" hidden="false" customHeight="false" outlineLevel="0" collapsed="false">
      <c r="A9" s="4" t="n">
        <v>148</v>
      </c>
      <c r="B9" s="15" t="n">
        <v>46219</v>
      </c>
      <c r="C9" s="4" t="s">
        <v>30</v>
      </c>
      <c r="D9" s="4" t="s">
        <v>157</v>
      </c>
      <c r="E9" s="17" t="s">
        <v>158</v>
      </c>
      <c r="F9" s="11" t="n">
        <v>90</v>
      </c>
      <c r="G9" s="4"/>
      <c r="H9" s="4"/>
      <c r="I9" s="17"/>
      <c r="J9" s="4" t="s">
        <v>72</v>
      </c>
      <c r="K9" s="4"/>
    </row>
    <row r="10" customFormat="false" ht="15" hidden="false" customHeight="false" outlineLevel="0" collapsed="false">
      <c r="A10" s="4" t="n">
        <v>149</v>
      </c>
      <c r="B10" s="15" t="n">
        <v>46221</v>
      </c>
      <c r="C10" s="4" t="s">
        <v>24</v>
      </c>
      <c r="D10" s="4" t="s">
        <v>132</v>
      </c>
      <c r="E10" s="17" t="s">
        <v>133</v>
      </c>
      <c r="F10" s="11" t="n">
        <v>12</v>
      </c>
      <c r="G10" s="4"/>
      <c r="H10" s="4"/>
      <c r="I10" s="17"/>
      <c r="J10" s="4" t="s">
        <v>71</v>
      </c>
      <c r="K10" s="4"/>
    </row>
    <row r="11" customFormat="false" ht="15" hidden="false" customHeight="false" outlineLevel="0" collapsed="false">
      <c r="A11" s="4" t="n">
        <v>150</v>
      </c>
      <c r="B11" s="15" t="n">
        <v>46221</v>
      </c>
      <c r="C11" s="4" t="s">
        <v>26</v>
      </c>
      <c r="D11" s="4" t="s">
        <v>110</v>
      </c>
      <c r="E11" s="17" t="s">
        <v>111</v>
      </c>
      <c r="F11" s="11" t="n">
        <v>78</v>
      </c>
      <c r="G11" s="4"/>
      <c r="H11" s="4"/>
      <c r="I11" s="17" t="s">
        <v>139</v>
      </c>
      <c r="J11" s="4" t="s">
        <v>71</v>
      </c>
      <c r="K11" s="4" t="s">
        <v>110</v>
      </c>
    </row>
    <row r="12" customFormat="false" ht="15" hidden="false" customHeight="false" outlineLevel="0" collapsed="false">
      <c r="A12" s="4" t="n">
        <v>151</v>
      </c>
      <c r="B12" s="15" t="n">
        <v>46221</v>
      </c>
      <c r="C12" s="4" t="s">
        <v>30</v>
      </c>
      <c r="D12" s="4" t="s">
        <v>157</v>
      </c>
      <c r="E12" s="17" t="s">
        <v>158</v>
      </c>
      <c r="F12" s="11" t="n">
        <v>120</v>
      </c>
      <c r="G12" s="4"/>
      <c r="H12" s="4"/>
      <c r="I12" s="17"/>
      <c r="J12" s="4" t="s">
        <v>72</v>
      </c>
      <c r="K12" s="4"/>
    </row>
    <row r="13" customFormat="false" ht="15" hidden="false" customHeight="false" outlineLevel="0" collapsed="false">
      <c r="A13" s="4" t="n">
        <v>152</v>
      </c>
      <c r="B13" s="15" t="n">
        <v>46222</v>
      </c>
      <c r="C13" s="4" t="s">
        <v>26</v>
      </c>
      <c r="D13" s="4" t="s">
        <v>140</v>
      </c>
      <c r="E13" s="17" t="s">
        <v>141</v>
      </c>
      <c r="F13" s="11" t="n">
        <v>87</v>
      </c>
      <c r="G13" s="4"/>
      <c r="H13" s="4"/>
      <c r="I13" s="17"/>
      <c r="J13" s="4" t="s">
        <v>71</v>
      </c>
      <c r="K13" s="4" t="s">
        <v>140</v>
      </c>
    </row>
    <row r="14" customFormat="false" ht="15" hidden="false" customHeight="false" outlineLevel="0" collapsed="false">
      <c r="A14" s="4" t="n">
        <v>153</v>
      </c>
      <c r="B14" s="15" t="n">
        <v>46222</v>
      </c>
      <c r="C14" s="4" t="s">
        <v>24</v>
      </c>
      <c r="D14" s="4" t="s">
        <v>132</v>
      </c>
      <c r="E14" s="17" t="s">
        <v>133</v>
      </c>
      <c r="F14" s="11" t="n">
        <v>21</v>
      </c>
      <c r="G14" s="4"/>
      <c r="H14" s="4"/>
      <c r="I14" s="17"/>
      <c r="J14" s="4" t="s">
        <v>71</v>
      </c>
      <c r="K14" s="4"/>
    </row>
    <row r="15" customFormat="false" ht="15" hidden="false" customHeight="false" outlineLevel="0" collapsed="false">
      <c r="A15" s="4" t="n">
        <v>154</v>
      </c>
      <c r="B15" s="15" t="n">
        <v>46222</v>
      </c>
      <c r="C15" s="4" t="s">
        <v>26</v>
      </c>
      <c r="D15" s="4" t="s">
        <v>110</v>
      </c>
      <c r="E15" s="17" t="s">
        <v>111</v>
      </c>
      <c r="F15" s="11" t="n">
        <v>68</v>
      </c>
      <c r="G15" s="4"/>
      <c r="H15" s="4"/>
      <c r="I15" s="17" t="s">
        <v>144</v>
      </c>
      <c r="J15" s="4" t="s">
        <v>71</v>
      </c>
      <c r="K15" s="4" t="s">
        <v>110</v>
      </c>
    </row>
    <row r="16" customFormat="false" ht="15" hidden="false" customHeight="false" outlineLevel="0" collapsed="false">
      <c r="A16" s="4" t="n">
        <v>155</v>
      </c>
      <c r="B16" s="15" t="n">
        <v>46223</v>
      </c>
      <c r="C16" s="4" t="s">
        <v>26</v>
      </c>
      <c r="D16" s="4" t="s">
        <v>142</v>
      </c>
      <c r="E16" s="17" t="s">
        <v>143</v>
      </c>
      <c r="F16" s="11" t="n">
        <v>51</v>
      </c>
      <c r="G16" s="4"/>
      <c r="H16" s="4"/>
      <c r="I16" s="17"/>
      <c r="J16" s="4" t="s">
        <v>71</v>
      </c>
      <c r="K16" s="4"/>
    </row>
    <row r="17" customFormat="false" ht="15" hidden="false" customHeight="false" outlineLevel="0" collapsed="false">
      <c r="A17" s="4" t="n">
        <v>156</v>
      </c>
      <c r="B17" s="15" t="n">
        <v>46223</v>
      </c>
      <c r="C17" s="4" t="s">
        <v>30</v>
      </c>
      <c r="D17" s="4" t="s">
        <v>157</v>
      </c>
      <c r="E17" s="17" t="s">
        <v>158</v>
      </c>
      <c r="F17" s="11" t="n">
        <v>90</v>
      </c>
      <c r="G17" s="4"/>
      <c r="H17" s="4"/>
      <c r="I17" s="17"/>
      <c r="J17" s="4" t="s">
        <v>72</v>
      </c>
      <c r="K17" s="4"/>
    </row>
    <row r="18" customFormat="false" ht="15" hidden="false" customHeight="false" outlineLevel="0" collapsed="false">
      <c r="A18" s="4" t="n">
        <v>157</v>
      </c>
      <c r="B18" s="15" t="n">
        <v>46224</v>
      </c>
      <c r="C18" s="4" t="s">
        <v>26</v>
      </c>
      <c r="D18" s="4" t="s">
        <v>104</v>
      </c>
      <c r="E18" s="17" t="s">
        <v>105</v>
      </c>
      <c r="F18" s="11" t="n">
        <v>162</v>
      </c>
      <c r="G18" s="4"/>
      <c r="H18" s="4"/>
      <c r="I18" s="17" t="s">
        <v>145</v>
      </c>
      <c r="J18" s="4" t="s">
        <v>71</v>
      </c>
      <c r="K18" s="4" t="s">
        <v>104</v>
      </c>
    </row>
    <row r="19" customFormat="false" ht="15" hidden="false" customHeight="false" outlineLevel="0" collapsed="false">
      <c r="A19" s="4" t="n">
        <v>158</v>
      </c>
      <c r="B19" s="15" t="n">
        <v>46224</v>
      </c>
      <c r="C19" s="4" t="s">
        <v>24</v>
      </c>
      <c r="D19" s="4" t="s">
        <v>132</v>
      </c>
      <c r="E19" s="17" t="s">
        <v>133</v>
      </c>
      <c r="F19" s="11" t="n">
        <v>21</v>
      </c>
      <c r="G19" s="4"/>
      <c r="H19" s="4"/>
      <c r="I19" s="17"/>
      <c r="J19" s="4" t="s">
        <v>71</v>
      </c>
      <c r="K19" s="4"/>
    </row>
    <row r="20" customFormat="false" ht="15" hidden="false" customHeight="false" outlineLevel="0" collapsed="false">
      <c r="A20" s="4" t="n">
        <v>159</v>
      </c>
      <c r="B20" s="15" t="n">
        <v>46224</v>
      </c>
      <c r="C20" s="4" t="s">
        <v>27</v>
      </c>
      <c r="D20" s="4" t="s">
        <v>129</v>
      </c>
      <c r="E20" s="17" t="s">
        <v>130</v>
      </c>
      <c r="F20" s="11" t="n">
        <v>54</v>
      </c>
      <c r="G20" s="4"/>
      <c r="H20" s="4"/>
      <c r="I20" s="17"/>
      <c r="J20" s="4" t="s">
        <v>71</v>
      </c>
      <c r="K20" s="4"/>
    </row>
    <row r="21" customFormat="false" ht="15" hidden="false" customHeight="false" outlineLevel="0" collapsed="false">
      <c r="A21" s="4" t="n">
        <v>160</v>
      </c>
      <c r="B21" s="15" t="n">
        <v>46224</v>
      </c>
      <c r="C21" s="4" t="s">
        <v>30</v>
      </c>
      <c r="D21" s="4" t="s">
        <v>157</v>
      </c>
      <c r="E21" s="17" t="s">
        <v>158</v>
      </c>
      <c r="F21" s="11" t="n">
        <v>120</v>
      </c>
      <c r="G21" s="4"/>
      <c r="H21" s="4"/>
      <c r="I21" s="17"/>
      <c r="J21" s="4" t="s">
        <v>72</v>
      </c>
      <c r="K21" s="4"/>
    </row>
    <row r="22" customFormat="false" ht="15" hidden="false" customHeight="false" outlineLevel="0" collapsed="false">
      <c r="A22" s="4" t="n">
        <v>161</v>
      </c>
      <c r="B22" s="15" t="n">
        <v>46225</v>
      </c>
      <c r="C22" s="4" t="s">
        <v>27</v>
      </c>
      <c r="D22" s="4" t="s">
        <v>129</v>
      </c>
      <c r="E22" s="17" t="s">
        <v>130</v>
      </c>
      <c r="F22" s="11" t="n">
        <v>81</v>
      </c>
      <c r="G22" s="4"/>
      <c r="H22" s="4"/>
      <c r="I22" s="17"/>
      <c r="J22" s="4" t="s">
        <v>71</v>
      </c>
      <c r="K22" s="4"/>
    </row>
    <row r="23" customFormat="false" ht="15" hidden="false" customHeight="false" outlineLevel="0" collapsed="false">
      <c r="A23" s="4" t="n">
        <v>162</v>
      </c>
      <c r="B23" s="15" t="n">
        <v>46225</v>
      </c>
      <c r="C23" s="4" t="s">
        <v>30</v>
      </c>
      <c r="D23" s="4" t="s">
        <v>157</v>
      </c>
      <c r="E23" s="17" t="s">
        <v>158</v>
      </c>
      <c r="F23" s="11" t="n">
        <v>60</v>
      </c>
      <c r="G23" s="4"/>
      <c r="H23" s="4"/>
      <c r="I23" s="17"/>
      <c r="J23" s="4" t="s">
        <v>72</v>
      </c>
      <c r="K23" s="4"/>
    </row>
    <row r="24" customFormat="false" ht="15" hidden="false" customHeight="false" outlineLevel="0" collapsed="false">
      <c r="A24" s="4" t="n">
        <v>163</v>
      </c>
      <c r="B24" s="15" t="n">
        <v>46226</v>
      </c>
      <c r="C24" s="4" t="s">
        <v>25</v>
      </c>
      <c r="D24" s="4" t="s">
        <v>147</v>
      </c>
      <c r="E24" s="17" t="s">
        <v>148</v>
      </c>
      <c r="F24" s="11" t="n">
        <v>26</v>
      </c>
      <c r="G24" s="4"/>
      <c r="H24" s="4"/>
      <c r="I24" s="17"/>
      <c r="J24" s="4" t="s">
        <v>71</v>
      </c>
      <c r="K24" s="4"/>
    </row>
    <row r="25" customFormat="false" ht="15" hidden="false" customHeight="false" outlineLevel="0" collapsed="false">
      <c r="A25" s="4" t="n">
        <v>164</v>
      </c>
      <c r="B25" s="15" t="n">
        <v>46226</v>
      </c>
      <c r="C25" s="4" t="s">
        <v>29</v>
      </c>
      <c r="D25" s="4" t="s">
        <v>124</v>
      </c>
      <c r="E25" s="17" t="s">
        <v>125</v>
      </c>
      <c r="F25" s="11" t="n">
        <v>22</v>
      </c>
      <c r="G25" s="4"/>
      <c r="H25" s="4"/>
      <c r="I25" s="17"/>
      <c r="J25" s="4" t="s">
        <v>71</v>
      </c>
      <c r="K25" s="4"/>
    </row>
    <row r="26" customFormat="false" ht="15" hidden="false" customHeight="false" outlineLevel="0" collapsed="false">
      <c r="A26" s="4" t="n">
        <v>165</v>
      </c>
      <c r="B26" s="15" t="n">
        <v>46226</v>
      </c>
      <c r="C26" s="4" t="s">
        <v>26</v>
      </c>
      <c r="D26" s="4" t="s">
        <v>142</v>
      </c>
      <c r="E26" s="17" t="s">
        <v>143</v>
      </c>
      <c r="F26" s="11" t="n">
        <v>50</v>
      </c>
      <c r="G26" s="4"/>
      <c r="H26" s="4"/>
      <c r="I26" s="17"/>
      <c r="J26" s="4" t="s">
        <v>71</v>
      </c>
      <c r="K26" s="4"/>
    </row>
    <row r="27" customFormat="false" ht="15" hidden="false" customHeight="false" outlineLevel="0" collapsed="false">
      <c r="A27" s="4" t="n">
        <v>166</v>
      </c>
      <c r="B27" s="15" t="n">
        <v>46226</v>
      </c>
      <c r="C27" s="4" t="s">
        <v>24</v>
      </c>
      <c r="D27" s="4" t="s">
        <v>126</v>
      </c>
      <c r="E27" s="17" t="s">
        <v>127</v>
      </c>
      <c r="F27" s="11" t="n">
        <v>23</v>
      </c>
      <c r="G27" s="4"/>
      <c r="H27" s="4"/>
      <c r="I27" s="17"/>
      <c r="J27" s="4" t="s">
        <v>71</v>
      </c>
      <c r="K27" s="4"/>
    </row>
    <row r="28" customFormat="false" ht="15" hidden="false" customHeight="false" outlineLevel="0" collapsed="false">
      <c r="A28" s="4" t="n">
        <v>167</v>
      </c>
      <c r="B28" s="15" t="n">
        <v>46226</v>
      </c>
      <c r="C28" s="4" t="s">
        <v>30</v>
      </c>
      <c r="D28" s="4" t="s">
        <v>120</v>
      </c>
      <c r="E28" s="17" t="s">
        <v>121</v>
      </c>
      <c r="F28" s="11" t="n">
        <v>34</v>
      </c>
      <c r="G28" s="4"/>
      <c r="H28" s="4"/>
      <c r="I28" s="17"/>
      <c r="J28" s="4" t="s">
        <v>71</v>
      </c>
      <c r="K28" s="4"/>
    </row>
    <row r="29" customFormat="false" ht="15" hidden="false" customHeight="false" outlineLevel="0" collapsed="false">
      <c r="A29" s="4" t="n">
        <v>168</v>
      </c>
      <c r="B29" s="15" t="n">
        <v>46227</v>
      </c>
      <c r="C29" s="4" t="s">
        <v>26</v>
      </c>
      <c r="D29" s="4" t="s">
        <v>110</v>
      </c>
      <c r="E29" s="17" t="s">
        <v>111</v>
      </c>
      <c r="F29" s="11" t="n">
        <v>58</v>
      </c>
      <c r="G29" s="4"/>
      <c r="H29" s="4"/>
      <c r="I29" s="17"/>
      <c r="J29" s="4" t="s">
        <v>71</v>
      </c>
      <c r="K29" s="4" t="s">
        <v>110</v>
      </c>
    </row>
    <row r="30" customFormat="false" ht="15" hidden="false" customHeight="false" outlineLevel="0" collapsed="false">
      <c r="A30" s="4" t="n">
        <v>169</v>
      </c>
      <c r="B30" s="15" t="n">
        <v>46227</v>
      </c>
      <c r="C30" s="4" t="s">
        <v>29</v>
      </c>
      <c r="D30" s="4" t="s">
        <v>124</v>
      </c>
      <c r="E30" s="17" t="s">
        <v>125</v>
      </c>
      <c r="F30" s="11" t="n">
        <v>31</v>
      </c>
      <c r="G30" s="4"/>
      <c r="H30" s="4"/>
      <c r="I30" s="17"/>
      <c r="J30" s="4" t="s">
        <v>71</v>
      </c>
      <c r="K30" s="4"/>
    </row>
    <row r="31" customFormat="false" ht="15" hidden="false" customHeight="false" outlineLevel="0" collapsed="false">
      <c r="A31" s="4" t="n">
        <v>170</v>
      </c>
      <c r="B31" s="15" t="n">
        <v>46227</v>
      </c>
      <c r="C31" s="4" t="s">
        <v>24</v>
      </c>
      <c r="D31" s="4" t="s">
        <v>132</v>
      </c>
      <c r="E31" s="17" t="s">
        <v>133</v>
      </c>
      <c r="F31" s="11" t="n">
        <v>17</v>
      </c>
      <c r="G31" s="4"/>
      <c r="H31" s="4"/>
      <c r="I31" s="17"/>
      <c r="J31" s="4" t="s">
        <v>71</v>
      </c>
      <c r="K31" s="4"/>
    </row>
    <row r="32" customFormat="false" ht="15" hidden="false" customHeight="false" outlineLevel="0" collapsed="false">
      <c r="A32" s="4" t="n">
        <v>171</v>
      </c>
      <c r="B32" s="15" t="n">
        <v>46227</v>
      </c>
      <c r="C32" s="4" t="s">
        <v>30</v>
      </c>
      <c r="D32" s="4" t="s">
        <v>157</v>
      </c>
      <c r="E32" s="17" t="s">
        <v>158</v>
      </c>
      <c r="F32" s="11" t="n">
        <v>90</v>
      </c>
      <c r="G32" s="4"/>
      <c r="H32" s="4"/>
      <c r="I32" s="17"/>
      <c r="J32" s="4" t="s">
        <v>72</v>
      </c>
      <c r="K32" s="4"/>
    </row>
    <row r="33" customFormat="false" ht="15" hidden="false" customHeight="false" outlineLevel="0" collapsed="false">
      <c r="A33" s="4" t="n">
        <v>172</v>
      </c>
      <c r="B33" s="15" t="n">
        <v>46228</v>
      </c>
      <c r="C33" s="4" t="s">
        <v>29</v>
      </c>
      <c r="D33" s="4" t="s">
        <v>124</v>
      </c>
      <c r="E33" s="17" t="s">
        <v>125</v>
      </c>
      <c r="F33" s="11" t="n">
        <v>27</v>
      </c>
      <c r="G33" s="4"/>
      <c r="H33" s="4"/>
      <c r="I33" s="17"/>
      <c r="J33" s="4" t="s">
        <v>71</v>
      </c>
      <c r="K33" s="4"/>
    </row>
    <row r="34" customFormat="false" ht="15" hidden="false" customHeight="false" outlineLevel="0" collapsed="false">
      <c r="A34" s="4" t="n">
        <v>173</v>
      </c>
      <c r="B34" s="15" t="n">
        <v>46228</v>
      </c>
      <c r="C34" s="4" t="s">
        <v>27</v>
      </c>
      <c r="D34" s="4" t="s">
        <v>135</v>
      </c>
      <c r="E34" s="17" t="s">
        <v>136</v>
      </c>
      <c r="F34" s="11" t="n">
        <v>57</v>
      </c>
      <c r="G34" s="4"/>
      <c r="H34" s="4"/>
      <c r="I34" s="17"/>
      <c r="J34" s="4" t="s">
        <v>71</v>
      </c>
      <c r="K34" s="4"/>
    </row>
    <row r="35" customFormat="false" ht="15" hidden="false" customHeight="false" outlineLevel="0" collapsed="false">
      <c r="A35" s="4" t="n">
        <v>174</v>
      </c>
      <c r="B35" s="15" t="n">
        <v>46228</v>
      </c>
      <c r="C35" s="4" t="s">
        <v>24</v>
      </c>
      <c r="D35" s="4" t="s">
        <v>126</v>
      </c>
      <c r="E35" s="17" t="s">
        <v>127</v>
      </c>
      <c r="F35" s="11" t="n">
        <v>21</v>
      </c>
      <c r="G35" s="4"/>
      <c r="H35" s="4"/>
      <c r="I35" s="17"/>
      <c r="J35" s="4" t="s">
        <v>71</v>
      </c>
      <c r="K35" s="4"/>
    </row>
    <row r="36" customFormat="false" ht="15" hidden="false" customHeight="false" outlineLevel="0" collapsed="false">
      <c r="A36" s="4" t="n">
        <v>175</v>
      </c>
      <c r="B36" s="15" t="n">
        <v>46229</v>
      </c>
      <c r="C36" s="4" t="s">
        <v>28</v>
      </c>
      <c r="D36" s="4" t="s">
        <v>114</v>
      </c>
      <c r="E36" s="17" t="s">
        <v>115</v>
      </c>
      <c r="F36" s="11" t="n">
        <v>24</v>
      </c>
      <c r="G36" s="4"/>
      <c r="H36" s="4"/>
      <c r="I36" s="17"/>
      <c r="J36" s="4" t="s">
        <v>71</v>
      </c>
      <c r="K36" s="4"/>
    </row>
    <row r="37" customFormat="false" ht="15" hidden="false" customHeight="false" outlineLevel="0" collapsed="false">
      <c r="A37" s="4" t="n">
        <v>176</v>
      </c>
      <c r="B37" s="15" t="n">
        <v>46229</v>
      </c>
      <c r="C37" s="4" t="s">
        <v>26</v>
      </c>
      <c r="D37" s="4" t="s">
        <v>140</v>
      </c>
      <c r="E37" s="17" t="s">
        <v>141</v>
      </c>
      <c r="F37" s="11" t="n">
        <v>80</v>
      </c>
      <c r="G37" s="4"/>
      <c r="H37" s="4"/>
      <c r="I37" s="17" t="s">
        <v>151</v>
      </c>
      <c r="J37" s="4" t="s">
        <v>71</v>
      </c>
      <c r="K37" s="4" t="s">
        <v>140</v>
      </c>
    </row>
    <row r="38" customFormat="false" ht="15" hidden="false" customHeight="false" outlineLevel="0" collapsed="false">
      <c r="A38" s="4" t="n">
        <v>177</v>
      </c>
      <c r="B38" s="15" t="n">
        <v>46229</v>
      </c>
      <c r="C38" s="4" t="s">
        <v>27</v>
      </c>
      <c r="D38" s="4" t="s">
        <v>135</v>
      </c>
      <c r="E38" s="17" t="s">
        <v>136</v>
      </c>
      <c r="F38" s="11" t="n">
        <v>96</v>
      </c>
      <c r="G38" s="4"/>
      <c r="H38" s="4"/>
      <c r="I38" s="17"/>
      <c r="J38" s="4" t="s">
        <v>71</v>
      </c>
      <c r="K38" s="4"/>
    </row>
    <row r="39" customFormat="false" ht="15" hidden="false" customHeight="false" outlineLevel="0" collapsed="false">
      <c r="A39" s="4" t="n">
        <v>178</v>
      </c>
      <c r="B39" s="15" t="n">
        <v>46230</v>
      </c>
      <c r="C39" s="4" t="s">
        <v>25</v>
      </c>
      <c r="D39" s="4" t="s">
        <v>117</v>
      </c>
      <c r="E39" s="17" t="s">
        <v>118</v>
      </c>
      <c r="F39" s="11" t="n">
        <v>46</v>
      </c>
      <c r="G39" s="4"/>
      <c r="H39" s="4"/>
      <c r="I39" s="17"/>
      <c r="J39" s="4" t="s">
        <v>71</v>
      </c>
      <c r="K39" s="4"/>
    </row>
    <row r="40" customFormat="false" ht="15" hidden="false" customHeight="false" outlineLevel="0" collapsed="false">
      <c r="A40" s="4" t="n">
        <v>179</v>
      </c>
      <c r="B40" s="15" t="n">
        <v>46230</v>
      </c>
      <c r="C40" s="4" t="s">
        <v>29</v>
      </c>
      <c r="D40" s="4" t="s">
        <v>124</v>
      </c>
      <c r="E40" s="17" t="s">
        <v>125</v>
      </c>
      <c r="F40" s="11" t="n">
        <v>17</v>
      </c>
      <c r="G40" s="4"/>
      <c r="H40" s="4"/>
      <c r="I40" s="17"/>
      <c r="J40" s="4" t="s">
        <v>71</v>
      </c>
      <c r="K40" s="4"/>
    </row>
    <row r="41" customFormat="false" ht="15" hidden="false" customHeight="false" outlineLevel="0" collapsed="false">
      <c r="A41" s="4" t="n">
        <v>180</v>
      </c>
      <c r="B41" s="15" t="n">
        <v>46230</v>
      </c>
      <c r="C41" s="4" t="s">
        <v>25</v>
      </c>
      <c r="D41" s="4" t="s">
        <v>147</v>
      </c>
      <c r="E41" s="17" t="s">
        <v>148</v>
      </c>
      <c r="F41" s="11" t="n">
        <v>36</v>
      </c>
      <c r="G41" s="4"/>
      <c r="H41" s="4"/>
      <c r="I41" s="17"/>
      <c r="J41" s="4" t="s">
        <v>71</v>
      </c>
      <c r="K41" s="4"/>
    </row>
    <row r="42" customFormat="false" ht="15" hidden="false" customHeight="false" outlineLevel="0" collapsed="false">
      <c r="A42" s="4" t="n">
        <v>181</v>
      </c>
      <c r="B42" s="15" t="n">
        <v>46230</v>
      </c>
      <c r="C42" s="4" t="s">
        <v>26</v>
      </c>
      <c r="D42" s="4" t="s">
        <v>110</v>
      </c>
      <c r="E42" s="17" t="s">
        <v>111</v>
      </c>
      <c r="F42" s="11" t="n">
        <v>54</v>
      </c>
      <c r="G42" s="4"/>
      <c r="H42" s="4"/>
      <c r="I42" s="17"/>
      <c r="J42" s="4" t="s">
        <v>71</v>
      </c>
      <c r="K42" s="4" t="s">
        <v>110</v>
      </c>
    </row>
    <row r="43" customFormat="false" ht="15" hidden="false" customHeight="false" outlineLevel="0" collapsed="false">
      <c r="A43" s="4" t="n">
        <v>182</v>
      </c>
      <c r="B43" s="15" t="n">
        <v>46231</v>
      </c>
      <c r="C43" s="4" t="s">
        <v>26</v>
      </c>
      <c r="D43" s="4" t="s">
        <v>110</v>
      </c>
      <c r="E43" s="17" t="s">
        <v>111</v>
      </c>
      <c r="F43" s="11" t="n">
        <v>81</v>
      </c>
      <c r="G43" s="4"/>
      <c r="H43" s="4"/>
      <c r="I43" s="17" t="s">
        <v>139</v>
      </c>
      <c r="J43" s="4" t="s">
        <v>71</v>
      </c>
      <c r="K43" s="4" t="s">
        <v>110</v>
      </c>
    </row>
    <row r="44" customFormat="false" ht="15" hidden="false" customHeight="false" outlineLevel="0" collapsed="false">
      <c r="A44" s="4" t="n">
        <v>183</v>
      </c>
      <c r="B44" s="15" t="n">
        <v>46232</v>
      </c>
      <c r="C44" s="4" t="s">
        <v>24</v>
      </c>
      <c r="D44" s="4" t="s">
        <v>126</v>
      </c>
      <c r="E44" s="17" t="s">
        <v>127</v>
      </c>
      <c r="F44" s="11" t="n">
        <v>26</v>
      </c>
      <c r="G44" s="4"/>
      <c r="H44" s="4"/>
      <c r="I44" s="17"/>
      <c r="J44" s="4" t="s">
        <v>71</v>
      </c>
      <c r="K44" s="4"/>
    </row>
    <row r="45" customFormat="false" ht="15" hidden="false" customHeight="false" outlineLevel="0" collapsed="false">
      <c r="A45" s="4" t="n">
        <v>184</v>
      </c>
      <c r="B45" s="15" t="n">
        <v>46232</v>
      </c>
      <c r="C45" s="4" t="s">
        <v>26</v>
      </c>
      <c r="D45" s="4" t="s">
        <v>110</v>
      </c>
      <c r="E45" s="17" t="s">
        <v>111</v>
      </c>
      <c r="F45" s="11" t="n">
        <v>37</v>
      </c>
      <c r="G45" s="4"/>
      <c r="H45" s="4"/>
      <c r="I45" s="17"/>
      <c r="J45" s="4" t="s">
        <v>71</v>
      </c>
      <c r="K45" s="4" t="s">
        <v>110</v>
      </c>
    </row>
    <row r="46" customFormat="false" ht="15" hidden="false" customHeight="false" outlineLevel="0" collapsed="false">
      <c r="A46" s="4" t="n">
        <v>185</v>
      </c>
      <c r="B46" s="15" t="n">
        <v>46233</v>
      </c>
      <c r="C46" s="4" t="s">
        <v>26</v>
      </c>
      <c r="D46" s="4" t="s">
        <v>142</v>
      </c>
      <c r="E46" s="17" t="s">
        <v>143</v>
      </c>
      <c r="F46" s="11" t="n">
        <v>63</v>
      </c>
      <c r="G46" s="4"/>
      <c r="H46" s="4"/>
      <c r="I46" s="17"/>
      <c r="J46" s="4" t="s">
        <v>71</v>
      </c>
      <c r="K46" s="4"/>
    </row>
    <row r="47" customFormat="false" ht="15" hidden="false" customHeight="false" outlineLevel="0" collapsed="false">
      <c r="A47" s="4" t="n">
        <v>186</v>
      </c>
      <c r="B47" s="15" t="n">
        <v>46233</v>
      </c>
      <c r="C47" s="4" t="s">
        <v>27</v>
      </c>
      <c r="D47" s="4" t="s">
        <v>129</v>
      </c>
      <c r="E47" s="17" t="s">
        <v>130</v>
      </c>
      <c r="F47" s="11" t="n">
        <v>86</v>
      </c>
      <c r="G47" s="4"/>
      <c r="H47" s="4"/>
      <c r="I47" s="17"/>
      <c r="J47" s="4" t="s">
        <v>71</v>
      </c>
      <c r="K47" s="4"/>
    </row>
    <row r="48" customFormat="false" ht="15" hidden="false" customHeight="false" outlineLevel="0" collapsed="false">
      <c r="A48" s="4" t="n">
        <v>187</v>
      </c>
      <c r="B48" s="15" t="n">
        <v>46234</v>
      </c>
      <c r="C48" s="4" t="s">
        <v>24</v>
      </c>
      <c r="D48" s="4" t="s">
        <v>126</v>
      </c>
      <c r="E48" s="17" t="s">
        <v>127</v>
      </c>
      <c r="F48" s="11" t="n">
        <v>22</v>
      </c>
      <c r="G48" s="4"/>
      <c r="H48" s="4"/>
      <c r="I48" s="17"/>
      <c r="J48" s="4" t="s">
        <v>71</v>
      </c>
      <c r="K48" s="4"/>
    </row>
    <row r="49" customFormat="false" ht="15" hidden="false" customHeight="false" outlineLevel="0" collapsed="false">
      <c r="A49" s="4" t="n">
        <v>188</v>
      </c>
      <c r="B49" s="15" t="n">
        <v>46234</v>
      </c>
      <c r="C49" s="4" t="s">
        <v>29</v>
      </c>
      <c r="D49" s="4" t="s">
        <v>124</v>
      </c>
      <c r="E49" s="17" t="s">
        <v>125</v>
      </c>
      <c r="F49" s="11" t="n">
        <v>13</v>
      </c>
      <c r="G49" s="4"/>
      <c r="H49" s="4"/>
      <c r="I49" s="17"/>
      <c r="J49" s="4" t="s">
        <v>71</v>
      </c>
      <c r="K49" s="4"/>
    </row>
    <row r="50" customFormat="false" ht="15" hidden="false" customHeight="false" outlineLevel="0" collapsed="false">
      <c r="A50" s="4" t="n">
        <v>189</v>
      </c>
      <c r="B50" s="15" t="n">
        <v>46234</v>
      </c>
      <c r="C50" s="4" t="s">
        <v>30</v>
      </c>
      <c r="D50" s="4" t="s">
        <v>157</v>
      </c>
      <c r="E50" s="17" t="s">
        <v>158</v>
      </c>
      <c r="F50" s="11" t="n">
        <v>120</v>
      </c>
      <c r="G50" s="4"/>
      <c r="H50" s="4"/>
      <c r="I50" s="17"/>
      <c r="J50" s="4" t="s">
        <v>72</v>
      </c>
      <c r="K50" s="4"/>
    </row>
    <row r="51" customFormat="false" ht="15" hidden="false" customHeight="false" outlineLevel="0" collapsed="false">
      <c r="A51" s="4" t="n">
        <v>190</v>
      </c>
      <c r="B51" s="15" t="n">
        <v>46235</v>
      </c>
      <c r="C51" s="4" t="s">
        <v>26</v>
      </c>
      <c r="D51" s="4" t="s">
        <v>142</v>
      </c>
      <c r="E51" s="17" t="s">
        <v>143</v>
      </c>
      <c r="F51" s="11" t="n">
        <v>53</v>
      </c>
      <c r="G51" s="4"/>
      <c r="H51" s="4"/>
      <c r="I51" s="17"/>
      <c r="J51" s="4" t="s">
        <v>71</v>
      </c>
      <c r="K51" s="4"/>
    </row>
    <row r="52" customFormat="false" ht="15" hidden="false" customHeight="false" outlineLevel="0" collapsed="false">
      <c r="A52" s="4" t="n">
        <v>191</v>
      </c>
      <c r="B52" s="15" t="n">
        <v>46235</v>
      </c>
      <c r="C52" s="4" t="s">
        <v>30</v>
      </c>
      <c r="D52" s="4" t="s">
        <v>157</v>
      </c>
      <c r="E52" s="17" t="s">
        <v>158</v>
      </c>
      <c r="F52" s="11" t="n">
        <v>60</v>
      </c>
      <c r="G52" s="4"/>
      <c r="H52" s="4"/>
      <c r="I52" s="17"/>
      <c r="J52" s="4" t="s">
        <v>72</v>
      </c>
      <c r="K52" s="4"/>
    </row>
    <row r="53" customFormat="false" ht="15" hidden="false" customHeight="false" outlineLevel="0" collapsed="false">
      <c r="A53" s="4" t="n">
        <v>192</v>
      </c>
      <c r="B53" s="15" t="n">
        <v>46236</v>
      </c>
      <c r="C53" s="4" t="s">
        <v>26</v>
      </c>
      <c r="D53" s="4" t="s">
        <v>110</v>
      </c>
      <c r="E53" s="17" t="s">
        <v>111</v>
      </c>
      <c r="F53" s="11" t="n">
        <v>66</v>
      </c>
      <c r="G53" s="4"/>
      <c r="H53" s="4"/>
      <c r="I53" s="17" t="s">
        <v>145</v>
      </c>
      <c r="J53" s="4" t="s">
        <v>71</v>
      </c>
      <c r="K53" s="4" t="s">
        <v>110</v>
      </c>
    </row>
    <row r="54" customFormat="false" ht="15" hidden="false" customHeight="false" outlineLevel="0" collapsed="false">
      <c r="A54" s="4" t="n">
        <v>193</v>
      </c>
      <c r="B54" s="15" t="n">
        <v>46236</v>
      </c>
      <c r="C54" s="4" t="s">
        <v>24</v>
      </c>
      <c r="D54" s="4" t="s">
        <v>126</v>
      </c>
      <c r="E54" s="17" t="s">
        <v>127</v>
      </c>
      <c r="F54" s="11" t="n">
        <v>28</v>
      </c>
      <c r="G54" s="4"/>
      <c r="H54" s="4"/>
      <c r="I54" s="17"/>
      <c r="J54" s="4" t="s">
        <v>71</v>
      </c>
      <c r="K54" s="4"/>
    </row>
    <row r="55" customFormat="false" ht="15" hidden="false" customHeight="false" outlineLevel="0" collapsed="false">
      <c r="A55" s="4" t="n">
        <v>194</v>
      </c>
      <c r="B55" s="15" t="n">
        <v>46238</v>
      </c>
      <c r="C55" s="4" t="s">
        <v>26</v>
      </c>
      <c r="D55" s="4" t="s">
        <v>104</v>
      </c>
      <c r="E55" s="17" t="s">
        <v>105</v>
      </c>
      <c r="F55" s="11" t="n">
        <v>201</v>
      </c>
      <c r="G55" s="4"/>
      <c r="H55" s="4"/>
      <c r="I55" s="17" t="s">
        <v>151</v>
      </c>
      <c r="J55" s="4" t="s">
        <v>71</v>
      </c>
      <c r="K55" s="4" t="s">
        <v>104</v>
      </c>
    </row>
    <row r="56" customFormat="false" ht="15" hidden="false" customHeight="false" outlineLevel="0" collapsed="false">
      <c r="A56" s="4" t="n">
        <v>195</v>
      </c>
      <c r="B56" s="15" t="n">
        <v>46238</v>
      </c>
      <c r="C56" s="4" t="s">
        <v>30</v>
      </c>
      <c r="D56" s="4" t="s">
        <v>120</v>
      </c>
      <c r="E56" s="17" t="s">
        <v>121</v>
      </c>
      <c r="F56" s="11" t="n">
        <v>25</v>
      </c>
      <c r="G56" s="4"/>
      <c r="H56" s="4"/>
      <c r="I56" s="17"/>
      <c r="J56" s="4" t="s">
        <v>71</v>
      </c>
      <c r="K56" s="4"/>
    </row>
    <row r="57" customFormat="false" ht="15" hidden="false" customHeight="false" outlineLevel="0" collapsed="false">
      <c r="A57" s="4" t="n">
        <v>196</v>
      </c>
      <c r="B57" s="15" t="n">
        <v>46238</v>
      </c>
      <c r="C57" s="4" t="s">
        <v>26</v>
      </c>
      <c r="D57" s="4" t="s">
        <v>110</v>
      </c>
      <c r="E57" s="17" t="s">
        <v>111</v>
      </c>
      <c r="F57" s="11" t="n">
        <v>52</v>
      </c>
      <c r="G57" s="4"/>
      <c r="H57" s="4"/>
      <c r="I57" s="17" t="s">
        <v>139</v>
      </c>
      <c r="J57" s="4" t="s">
        <v>71</v>
      </c>
      <c r="K57" s="4" t="s">
        <v>110</v>
      </c>
    </row>
    <row r="58" customFormat="false" ht="15" hidden="false" customHeight="false" outlineLevel="0" collapsed="false">
      <c r="A58" s="4" t="n">
        <v>197</v>
      </c>
      <c r="B58" s="15" t="n">
        <v>46240</v>
      </c>
      <c r="C58" s="4" t="s">
        <v>24</v>
      </c>
      <c r="D58" s="4" t="s">
        <v>126</v>
      </c>
      <c r="E58" s="17" t="s">
        <v>127</v>
      </c>
      <c r="F58" s="11" t="n">
        <v>21</v>
      </c>
      <c r="G58" s="4"/>
      <c r="H58" s="4"/>
      <c r="I58" s="17"/>
      <c r="J58" s="4" t="s">
        <v>71</v>
      </c>
      <c r="K58" s="4"/>
    </row>
    <row r="59" customFormat="false" ht="15" hidden="false" customHeight="false" outlineLevel="0" collapsed="false">
      <c r="A59" s="4" t="n">
        <v>198</v>
      </c>
      <c r="B59" s="15" t="n">
        <v>46241</v>
      </c>
      <c r="C59" s="4" t="s">
        <v>24</v>
      </c>
      <c r="D59" s="4" t="s">
        <v>132</v>
      </c>
      <c r="E59" s="17" t="s">
        <v>133</v>
      </c>
      <c r="F59" s="11" t="n">
        <v>21</v>
      </c>
      <c r="G59" s="4"/>
      <c r="H59" s="4"/>
      <c r="I59" s="17"/>
      <c r="J59" s="4" t="s">
        <v>71</v>
      </c>
      <c r="K59" s="4"/>
    </row>
    <row r="60" customFormat="false" ht="15" hidden="false" customHeight="false" outlineLevel="0" collapsed="false">
      <c r="A60" s="4" t="n">
        <v>199</v>
      </c>
      <c r="B60" s="15" t="n">
        <v>46241</v>
      </c>
      <c r="C60" s="4" t="s">
        <v>28</v>
      </c>
      <c r="D60" s="4" t="s">
        <v>114</v>
      </c>
      <c r="E60" s="17" t="s">
        <v>115</v>
      </c>
      <c r="F60" s="11" t="n">
        <v>26</v>
      </c>
      <c r="G60" s="4"/>
      <c r="H60" s="4"/>
      <c r="I60" s="17"/>
      <c r="J60" s="4" t="s">
        <v>71</v>
      </c>
      <c r="K60" s="4"/>
    </row>
    <row r="61" customFormat="false" ht="15" hidden="false" customHeight="false" outlineLevel="0" collapsed="false">
      <c r="A61" s="4" t="n">
        <v>200</v>
      </c>
      <c r="B61" s="15" t="n">
        <v>46241</v>
      </c>
      <c r="C61" s="4" t="s">
        <v>26</v>
      </c>
      <c r="D61" s="4" t="s">
        <v>140</v>
      </c>
      <c r="E61" s="17" t="s">
        <v>141</v>
      </c>
      <c r="F61" s="11" t="n">
        <v>48</v>
      </c>
      <c r="G61" s="4"/>
      <c r="H61" s="4"/>
      <c r="I61" s="17"/>
      <c r="J61" s="4" t="s">
        <v>71</v>
      </c>
      <c r="K61" s="4" t="s">
        <v>140</v>
      </c>
    </row>
    <row r="62" customFormat="false" ht="15" hidden="false" customHeight="false" outlineLevel="0" collapsed="false">
      <c r="A62" s="4" t="n">
        <v>201</v>
      </c>
      <c r="B62" s="15" t="n">
        <v>46242</v>
      </c>
      <c r="C62" s="4" t="s">
        <v>25</v>
      </c>
      <c r="D62" s="4" t="s">
        <v>147</v>
      </c>
      <c r="E62" s="17" t="s">
        <v>148</v>
      </c>
      <c r="F62" s="11" t="n">
        <v>28</v>
      </c>
      <c r="G62" s="4"/>
      <c r="H62" s="4"/>
      <c r="I62" s="17"/>
      <c r="J62" s="4" t="s">
        <v>71</v>
      </c>
      <c r="K62" s="4"/>
    </row>
    <row r="63" customFormat="false" ht="15" hidden="false" customHeight="false" outlineLevel="0" collapsed="false">
      <c r="A63" s="4" t="n">
        <v>202</v>
      </c>
      <c r="B63" s="15" t="n">
        <v>46242</v>
      </c>
      <c r="C63" s="4" t="s">
        <v>29</v>
      </c>
      <c r="D63" s="4" t="s">
        <v>124</v>
      </c>
      <c r="E63" s="17" t="s">
        <v>125</v>
      </c>
      <c r="F63" s="11" t="n">
        <v>22</v>
      </c>
      <c r="G63" s="4"/>
      <c r="H63" s="4"/>
      <c r="I63" s="17"/>
      <c r="J63" s="4" t="s">
        <v>71</v>
      </c>
      <c r="K63" s="4"/>
    </row>
    <row r="64" customFormat="false" ht="15" hidden="false" customHeight="false" outlineLevel="0" collapsed="false">
      <c r="A64" s="4" t="n">
        <v>203</v>
      </c>
      <c r="B64" s="15" t="n">
        <v>46243</v>
      </c>
      <c r="C64" s="4" t="s">
        <v>27</v>
      </c>
      <c r="D64" s="4" t="s">
        <v>129</v>
      </c>
      <c r="E64" s="17" t="s">
        <v>130</v>
      </c>
      <c r="F64" s="11" t="n">
        <v>69</v>
      </c>
      <c r="G64" s="4"/>
      <c r="H64" s="4"/>
      <c r="I64" s="17"/>
      <c r="J64" s="4" t="s">
        <v>71</v>
      </c>
      <c r="K64" s="4"/>
    </row>
    <row r="65" customFormat="false" ht="15" hidden="false" customHeight="false" outlineLevel="0" collapsed="false">
      <c r="A65" s="4" t="n">
        <v>204</v>
      </c>
      <c r="B65" s="15" t="n">
        <v>46243</v>
      </c>
      <c r="C65" s="4" t="s">
        <v>26</v>
      </c>
      <c r="D65" s="4" t="s">
        <v>110</v>
      </c>
      <c r="E65" s="17" t="s">
        <v>111</v>
      </c>
      <c r="F65" s="11" t="n">
        <v>87</v>
      </c>
      <c r="G65" s="4"/>
      <c r="H65" s="4"/>
      <c r="I65" s="17"/>
      <c r="J65" s="4" t="s">
        <v>71</v>
      </c>
      <c r="K65" s="4" t="s">
        <v>110</v>
      </c>
    </row>
    <row r="66" customFormat="false" ht="15" hidden="false" customHeight="false" outlineLevel="0" collapsed="false">
      <c r="A66" s="4" t="n">
        <v>205</v>
      </c>
      <c r="B66" s="15" t="n">
        <v>46244</v>
      </c>
      <c r="C66" s="4" t="s">
        <v>24</v>
      </c>
      <c r="D66" s="4" t="s">
        <v>132</v>
      </c>
      <c r="E66" s="17" t="s">
        <v>133</v>
      </c>
      <c r="F66" s="11" t="n">
        <v>18</v>
      </c>
      <c r="G66" s="4"/>
      <c r="H66" s="4"/>
      <c r="I66" s="17"/>
      <c r="J66" s="4" t="s">
        <v>71</v>
      </c>
      <c r="K66" s="4"/>
    </row>
    <row r="67" customFormat="false" ht="15" hidden="false" customHeight="false" outlineLevel="0" collapsed="false">
      <c r="A67" s="4" t="n">
        <v>206</v>
      </c>
      <c r="B67" s="15" t="n">
        <v>46245</v>
      </c>
      <c r="C67" s="4" t="s">
        <v>25</v>
      </c>
      <c r="D67" s="4" t="s">
        <v>117</v>
      </c>
      <c r="E67" s="17" t="s">
        <v>118</v>
      </c>
      <c r="F67" s="11" t="n">
        <v>24</v>
      </c>
      <c r="G67" s="4"/>
      <c r="H67" s="4"/>
      <c r="I67" s="17"/>
      <c r="J67" s="4" t="s">
        <v>71</v>
      </c>
      <c r="K67" s="4"/>
    </row>
    <row r="68" customFormat="false" ht="15" hidden="false" customHeight="false" outlineLevel="0" collapsed="false">
      <c r="A68" s="4" t="n">
        <v>207</v>
      </c>
      <c r="B68" s="15" t="n">
        <v>46245</v>
      </c>
      <c r="C68" s="4" t="s">
        <v>26</v>
      </c>
      <c r="D68" s="4" t="s">
        <v>140</v>
      </c>
      <c r="E68" s="17" t="s">
        <v>141</v>
      </c>
      <c r="F68" s="11" t="n">
        <v>70</v>
      </c>
      <c r="G68" s="4"/>
      <c r="H68" s="4"/>
      <c r="I68" s="17" t="s">
        <v>144</v>
      </c>
      <c r="J68" s="4" t="s">
        <v>71</v>
      </c>
      <c r="K68" s="4" t="s">
        <v>140</v>
      </c>
    </row>
    <row r="69" customFormat="false" ht="15" hidden="false" customHeight="false" outlineLevel="0" collapsed="false">
      <c r="A69" s="4" t="n">
        <v>208</v>
      </c>
      <c r="B69" s="15" t="n">
        <v>46245</v>
      </c>
      <c r="C69" s="4" t="s">
        <v>24</v>
      </c>
      <c r="D69" s="4" t="s">
        <v>132</v>
      </c>
      <c r="E69" s="17" t="s">
        <v>133</v>
      </c>
      <c r="F69" s="11" t="n">
        <v>18</v>
      </c>
      <c r="G69" s="4"/>
      <c r="H69" s="4"/>
      <c r="I69" s="17"/>
      <c r="J69" s="4" t="s">
        <v>71</v>
      </c>
      <c r="K69" s="4"/>
    </row>
    <row r="70" customFormat="false" ht="15" hidden="false" customHeight="false" outlineLevel="0" collapsed="false">
      <c r="A70" s="4" t="n">
        <v>209</v>
      </c>
      <c r="B70" s="15" t="n">
        <v>46246</v>
      </c>
      <c r="C70" s="4" t="s">
        <v>29</v>
      </c>
      <c r="D70" s="4" t="s">
        <v>124</v>
      </c>
      <c r="E70" s="17" t="s">
        <v>125</v>
      </c>
      <c r="F70" s="11" t="n">
        <v>25</v>
      </c>
      <c r="G70" s="4"/>
      <c r="H70" s="4"/>
      <c r="I70" s="17"/>
      <c r="J70" s="4" t="s">
        <v>71</v>
      </c>
      <c r="K70" s="4"/>
    </row>
    <row r="71" customFormat="false" ht="15" hidden="false" customHeight="false" outlineLevel="0" collapsed="false">
      <c r="A71" s="4" t="n">
        <v>210</v>
      </c>
      <c r="B71" s="15" t="n">
        <v>46247</v>
      </c>
      <c r="C71" s="4" t="s">
        <v>29</v>
      </c>
      <c r="D71" s="4" t="s">
        <v>124</v>
      </c>
      <c r="E71" s="17" t="s">
        <v>125</v>
      </c>
      <c r="F71" s="11" t="n">
        <v>23</v>
      </c>
      <c r="G71" s="4"/>
      <c r="H71" s="4"/>
      <c r="I71" s="17"/>
      <c r="J71" s="4" t="s">
        <v>71</v>
      </c>
      <c r="K71" s="4"/>
    </row>
    <row r="72" customFormat="false" ht="15" hidden="false" customHeight="false" outlineLevel="0" collapsed="false">
      <c r="A72" s="4" t="n">
        <v>211</v>
      </c>
      <c r="B72" s="15" t="n">
        <v>46247</v>
      </c>
      <c r="C72" s="4" t="s">
        <v>24</v>
      </c>
      <c r="D72" s="4" t="s">
        <v>126</v>
      </c>
      <c r="E72" s="17" t="s">
        <v>127</v>
      </c>
      <c r="F72" s="11" t="n">
        <v>20</v>
      </c>
      <c r="G72" s="4"/>
      <c r="H72" s="4"/>
      <c r="I72" s="17"/>
      <c r="J72" s="4" t="s">
        <v>71</v>
      </c>
      <c r="K72" s="4"/>
    </row>
    <row r="73" customFormat="false" ht="15" hidden="false" customHeight="false" outlineLevel="0" collapsed="false">
      <c r="A73" s="4" t="n">
        <v>212</v>
      </c>
      <c r="B73" s="15" t="n">
        <v>46247</v>
      </c>
      <c r="C73" s="4" t="s">
        <v>26</v>
      </c>
      <c r="D73" s="4" t="s">
        <v>110</v>
      </c>
      <c r="E73" s="17" t="s">
        <v>111</v>
      </c>
      <c r="F73" s="11" t="n">
        <v>31</v>
      </c>
      <c r="G73" s="4"/>
      <c r="H73" s="4"/>
      <c r="I73" s="17" t="s">
        <v>144</v>
      </c>
      <c r="J73" s="4" t="s">
        <v>71</v>
      </c>
      <c r="K73" s="4" t="s">
        <v>110</v>
      </c>
    </row>
    <row r="74" customFormat="false" ht="15" hidden="false" customHeight="false" outlineLevel="0" collapsed="false">
      <c r="A74" s="4" t="n">
        <v>213</v>
      </c>
      <c r="B74" s="15" t="n">
        <v>46249</v>
      </c>
      <c r="C74" s="4" t="s">
        <v>24</v>
      </c>
      <c r="D74" s="4" t="s">
        <v>132</v>
      </c>
      <c r="E74" s="17" t="s">
        <v>133</v>
      </c>
      <c r="F74" s="11" t="n">
        <v>14</v>
      </c>
      <c r="G74" s="4"/>
      <c r="H74" s="4"/>
      <c r="I74" s="17"/>
      <c r="J74" s="4" t="s">
        <v>71</v>
      </c>
      <c r="K74" s="4"/>
    </row>
    <row r="75" customFormat="false" ht="15" hidden="false" customHeight="false" outlineLevel="0" collapsed="false">
      <c r="A75" s="4" t="n">
        <v>214</v>
      </c>
      <c r="B75" s="15" t="n">
        <v>46249</v>
      </c>
      <c r="C75" s="4" t="s">
        <v>28</v>
      </c>
      <c r="D75" s="4" t="s">
        <v>114</v>
      </c>
      <c r="E75" s="17" t="s">
        <v>115</v>
      </c>
      <c r="F75" s="11" t="n">
        <v>26</v>
      </c>
      <c r="G75" s="4"/>
      <c r="H75" s="4"/>
      <c r="I75" s="17"/>
      <c r="J75" s="4" t="s">
        <v>71</v>
      </c>
      <c r="K75" s="4"/>
    </row>
    <row r="76" customFormat="false" ht="15" hidden="false" customHeight="false" outlineLevel="0" collapsed="false">
      <c r="A76" s="4" t="n">
        <v>215</v>
      </c>
      <c r="B76" s="15" t="n">
        <v>46249</v>
      </c>
      <c r="C76" s="4" t="s">
        <v>27</v>
      </c>
      <c r="D76" s="4" t="s">
        <v>135</v>
      </c>
      <c r="E76" s="17" t="s">
        <v>136</v>
      </c>
      <c r="F76" s="11" t="n">
        <v>62</v>
      </c>
      <c r="G76" s="4"/>
      <c r="H76" s="4"/>
      <c r="I76" s="17"/>
      <c r="J76" s="4" t="s">
        <v>71</v>
      </c>
      <c r="K76" s="4"/>
    </row>
    <row r="77" customFormat="false" ht="15" hidden="false" customHeight="false" outlineLevel="0" collapsed="false">
      <c r="A77" s="4" t="n">
        <v>216</v>
      </c>
      <c r="B77" s="15" t="n">
        <v>46249</v>
      </c>
      <c r="C77" s="4" t="s">
        <v>30</v>
      </c>
      <c r="D77" s="4" t="s">
        <v>157</v>
      </c>
      <c r="E77" s="17" t="s">
        <v>158</v>
      </c>
      <c r="F77" s="11" t="n">
        <v>120</v>
      </c>
      <c r="G77" s="4"/>
      <c r="H77" s="4"/>
      <c r="I77" s="17"/>
      <c r="J77" s="4" t="s">
        <v>72</v>
      </c>
      <c r="K77" s="4"/>
    </row>
    <row r="78" customFormat="false" ht="15" hidden="false" customHeight="false" outlineLevel="0" collapsed="false">
      <c r="A78" s="4" t="n">
        <v>217</v>
      </c>
      <c r="B78" s="15" t="n">
        <v>46250</v>
      </c>
      <c r="C78" s="4" t="s">
        <v>29</v>
      </c>
      <c r="D78" s="4" t="s">
        <v>124</v>
      </c>
      <c r="E78" s="17" t="s">
        <v>125</v>
      </c>
      <c r="F78" s="11" t="n">
        <v>21</v>
      </c>
      <c r="G78" s="4"/>
      <c r="H78" s="4"/>
      <c r="I78" s="17"/>
      <c r="J78" s="4" t="s">
        <v>71</v>
      </c>
      <c r="K78" s="4"/>
    </row>
    <row r="79" customFormat="false" ht="15" hidden="false" customHeight="false" outlineLevel="0" collapsed="false">
      <c r="A79" s="4" t="n">
        <v>218</v>
      </c>
      <c r="B79" s="15" t="n">
        <v>46250</v>
      </c>
      <c r="C79" s="4" t="s">
        <v>24</v>
      </c>
      <c r="D79" s="4" t="s">
        <v>132</v>
      </c>
      <c r="E79" s="17" t="s">
        <v>133</v>
      </c>
      <c r="F79" s="11" t="n">
        <v>16</v>
      </c>
      <c r="G79" s="4"/>
      <c r="H79" s="4"/>
      <c r="I79" s="17"/>
      <c r="J79" s="4" t="s">
        <v>71</v>
      </c>
      <c r="K79" s="4"/>
    </row>
    <row r="80" customFormat="false" ht="15" hidden="false" customHeight="false" outlineLevel="0" collapsed="false">
      <c r="A80" s="4" t="n">
        <v>219</v>
      </c>
      <c r="B80" s="15" t="n">
        <v>46250</v>
      </c>
      <c r="C80" s="4" t="s">
        <v>26</v>
      </c>
      <c r="D80" s="4" t="s">
        <v>110</v>
      </c>
      <c r="E80" s="17" t="s">
        <v>111</v>
      </c>
      <c r="F80" s="11" t="n">
        <v>75</v>
      </c>
      <c r="G80" s="4"/>
      <c r="H80" s="4"/>
      <c r="I80" s="17"/>
      <c r="J80" s="4" t="s">
        <v>71</v>
      </c>
      <c r="K80" s="4" t="s">
        <v>110</v>
      </c>
    </row>
    <row r="81" customFormat="false" ht="15" hidden="false" customHeight="false" outlineLevel="0" collapsed="false">
      <c r="A81" s="4" t="n">
        <v>220</v>
      </c>
      <c r="B81" s="15" t="n">
        <v>46251</v>
      </c>
      <c r="C81" s="4" t="s">
        <v>24</v>
      </c>
      <c r="D81" s="4" t="s">
        <v>126</v>
      </c>
      <c r="E81" s="17" t="s">
        <v>127</v>
      </c>
      <c r="F81" s="11" t="n">
        <v>24</v>
      </c>
      <c r="G81" s="4"/>
      <c r="H81" s="4"/>
      <c r="I81" s="17"/>
      <c r="J81" s="4" t="s">
        <v>71</v>
      </c>
      <c r="K81" s="4"/>
    </row>
    <row r="82" customFormat="false" ht="15" hidden="false" customHeight="false" outlineLevel="0" collapsed="false">
      <c r="A82" s="4" t="n">
        <v>221</v>
      </c>
      <c r="B82" s="15" t="n">
        <v>46251</v>
      </c>
      <c r="C82" s="4" t="s">
        <v>27</v>
      </c>
      <c r="D82" s="4" t="s">
        <v>135</v>
      </c>
      <c r="E82" s="17" t="s">
        <v>136</v>
      </c>
      <c r="F82" s="11" t="n">
        <v>58</v>
      </c>
      <c r="G82" s="4"/>
      <c r="H82" s="4"/>
      <c r="I82" s="17"/>
      <c r="J82" s="4" t="s">
        <v>71</v>
      </c>
      <c r="K82" s="4"/>
    </row>
    <row r="83" customFormat="false" ht="15" hidden="false" customHeight="false" outlineLevel="0" collapsed="false">
      <c r="A83" s="4" t="n">
        <v>222</v>
      </c>
      <c r="B83" s="15" t="n">
        <v>46251</v>
      </c>
      <c r="C83" s="4" t="s">
        <v>30</v>
      </c>
      <c r="D83" s="4" t="s">
        <v>120</v>
      </c>
      <c r="E83" s="17" t="s">
        <v>121</v>
      </c>
      <c r="F83" s="11" t="n">
        <v>29</v>
      </c>
      <c r="G83" s="4"/>
      <c r="H83" s="4"/>
      <c r="I83" s="17"/>
      <c r="J83" s="4" t="s">
        <v>71</v>
      </c>
      <c r="K83" s="4"/>
    </row>
    <row r="84" customFormat="false" ht="15" hidden="false" customHeight="false" outlineLevel="0" collapsed="false">
      <c r="A84" s="4" t="n">
        <v>223</v>
      </c>
      <c r="B84" s="15" t="n">
        <v>46251</v>
      </c>
      <c r="C84" s="4" t="s">
        <v>25</v>
      </c>
      <c r="D84" s="4" t="s">
        <v>147</v>
      </c>
      <c r="E84" s="17" t="s">
        <v>148</v>
      </c>
      <c r="F84" s="11" t="n">
        <v>23</v>
      </c>
      <c r="G84" s="4"/>
      <c r="H84" s="4"/>
      <c r="I84" s="17"/>
      <c r="J84" s="4" t="s">
        <v>71</v>
      </c>
      <c r="K84" s="4"/>
    </row>
    <row r="85" customFormat="false" ht="15" hidden="false" customHeight="false" outlineLevel="0" collapsed="false">
      <c r="A85" s="4" t="n">
        <v>224</v>
      </c>
      <c r="B85" s="15" t="n">
        <v>46251</v>
      </c>
      <c r="C85" s="4" t="s">
        <v>26</v>
      </c>
      <c r="D85" s="4" t="s">
        <v>110</v>
      </c>
      <c r="E85" s="17" t="s">
        <v>111</v>
      </c>
      <c r="F85" s="11" t="n">
        <v>79</v>
      </c>
      <c r="G85" s="4"/>
      <c r="H85" s="4"/>
      <c r="I85" s="17"/>
      <c r="J85" s="4" t="s">
        <v>71</v>
      </c>
      <c r="K85" s="4" t="s">
        <v>110</v>
      </c>
    </row>
    <row r="86" customFormat="false" ht="15" hidden="false" customHeight="false" outlineLevel="0" collapsed="false">
      <c r="A86" s="4" t="n">
        <v>225</v>
      </c>
      <c r="B86" s="15" t="n">
        <v>46252</v>
      </c>
      <c r="C86" s="4" t="s">
        <v>25</v>
      </c>
      <c r="D86" s="4" t="s">
        <v>147</v>
      </c>
      <c r="E86" s="17" t="s">
        <v>148</v>
      </c>
      <c r="F86" s="11" t="n">
        <v>15</v>
      </c>
      <c r="G86" s="4"/>
      <c r="H86" s="4"/>
      <c r="I86" s="17"/>
      <c r="J86" s="4" t="s">
        <v>71</v>
      </c>
      <c r="K86" s="4"/>
    </row>
    <row r="87" customFormat="false" ht="15" hidden="false" customHeight="false" outlineLevel="0" collapsed="false">
      <c r="A87" s="4" t="n">
        <v>226</v>
      </c>
      <c r="B87" s="15" t="n">
        <v>46252</v>
      </c>
      <c r="C87" s="4" t="s">
        <v>26</v>
      </c>
      <c r="D87" s="4" t="s">
        <v>110</v>
      </c>
      <c r="E87" s="17" t="s">
        <v>111</v>
      </c>
      <c r="F87" s="11" t="n">
        <v>75</v>
      </c>
      <c r="G87" s="4"/>
      <c r="H87" s="4"/>
      <c r="I87" s="17"/>
      <c r="J87" s="4" t="s">
        <v>71</v>
      </c>
      <c r="K87" s="4" t="s">
        <v>110</v>
      </c>
    </row>
    <row r="88" customFormat="false" ht="15" hidden="false" customHeight="false" outlineLevel="0" collapsed="false">
      <c r="A88" s="4" t="n">
        <v>227</v>
      </c>
      <c r="B88" s="15" t="n">
        <v>46253</v>
      </c>
      <c r="C88" s="4" t="s">
        <v>25</v>
      </c>
      <c r="D88" s="4" t="s">
        <v>147</v>
      </c>
      <c r="E88" s="17" t="s">
        <v>148</v>
      </c>
      <c r="F88" s="11" t="n">
        <v>29</v>
      </c>
      <c r="G88" s="4"/>
      <c r="H88" s="4"/>
      <c r="I88" s="17"/>
      <c r="J88" s="4" t="s">
        <v>71</v>
      </c>
      <c r="K88" s="4"/>
    </row>
    <row r="89" customFormat="false" ht="15" hidden="false" customHeight="false" outlineLevel="0" collapsed="false">
      <c r="A89" s="4" t="n">
        <v>228</v>
      </c>
      <c r="B89" s="15" t="n">
        <v>46254</v>
      </c>
      <c r="C89" s="4" t="s">
        <v>26</v>
      </c>
      <c r="D89" s="4" t="s">
        <v>104</v>
      </c>
      <c r="E89" s="17" t="s">
        <v>105</v>
      </c>
      <c r="F89" s="11" t="n">
        <v>159</v>
      </c>
      <c r="G89" s="4"/>
      <c r="H89" s="4"/>
      <c r="I89" s="17" t="s">
        <v>139</v>
      </c>
      <c r="J89" s="4" t="s">
        <v>71</v>
      </c>
      <c r="K89" s="4" t="s">
        <v>104</v>
      </c>
    </row>
    <row r="90" customFormat="false" ht="15" hidden="false" customHeight="false" outlineLevel="0" collapsed="false">
      <c r="A90" s="4" t="n">
        <v>229</v>
      </c>
      <c r="B90" s="15" t="n">
        <v>46254</v>
      </c>
      <c r="C90" s="4" t="s">
        <v>26</v>
      </c>
      <c r="D90" s="4" t="s">
        <v>142</v>
      </c>
      <c r="E90" s="17" t="s">
        <v>143</v>
      </c>
      <c r="F90" s="11" t="n">
        <v>40</v>
      </c>
      <c r="G90" s="4"/>
      <c r="H90" s="4"/>
      <c r="I90" s="17"/>
      <c r="J90" s="4" t="s">
        <v>71</v>
      </c>
      <c r="K90" s="4"/>
    </row>
    <row r="91" customFormat="false" ht="15" hidden="false" customHeight="false" outlineLevel="0" collapsed="false">
      <c r="A91" s="4" t="n">
        <v>230</v>
      </c>
      <c r="B91" s="15" t="n">
        <v>46255</v>
      </c>
      <c r="C91" s="4" t="s">
        <v>29</v>
      </c>
      <c r="D91" s="4" t="s">
        <v>124</v>
      </c>
      <c r="E91" s="17" t="s">
        <v>125</v>
      </c>
      <c r="F91" s="11" t="n">
        <v>21</v>
      </c>
      <c r="G91" s="4"/>
      <c r="H91" s="4"/>
      <c r="I91" s="17"/>
      <c r="J91" s="4" t="s">
        <v>71</v>
      </c>
      <c r="K91" s="4"/>
    </row>
    <row r="92" customFormat="false" ht="15" hidden="false" customHeight="false" outlineLevel="0" collapsed="false">
      <c r="A92" s="4" t="n">
        <v>231</v>
      </c>
      <c r="B92" s="15" t="n">
        <v>46255</v>
      </c>
      <c r="C92" s="4" t="s">
        <v>24</v>
      </c>
      <c r="D92" s="4" t="s">
        <v>126</v>
      </c>
      <c r="E92" s="17" t="s">
        <v>127</v>
      </c>
      <c r="F92" s="11" t="n">
        <v>19</v>
      </c>
      <c r="G92" s="4"/>
      <c r="H92" s="4"/>
      <c r="I92" s="17"/>
      <c r="J92" s="4" t="s">
        <v>71</v>
      </c>
      <c r="K92" s="4"/>
    </row>
    <row r="93" customFormat="false" ht="15" hidden="false" customHeight="false" outlineLevel="0" collapsed="false">
      <c r="A93" s="4" t="n">
        <v>232</v>
      </c>
      <c r="B93" s="15" t="n">
        <v>46256</v>
      </c>
      <c r="C93" s="4" t="s">
        <v>30</v>
      </c>
      <c r="D93" s="4" t="s">
        <v>157</v>
      </c>
      <c r="E93" s="17" t="s">
        <v>158</v>
      </c>
      <c r="F93" s="11" t="n">
        <v>120</v>
      </c>
      <c r="G93" s="4"/>
      <c r="H93" s="4"/>
      <c r="I93" s="17"/>
      <c r="J93" s="4" t="s">
        <v>72</v>
      </c>
      <c r="K93" s="4"/>
    </row>
    <row r="94" customFormat="false" ht="15" hidden="false" customHeight="false" outlineLevel="0" collapsed="false">
      <c r="A94" s="4" t="n">
        <v>233</v>
      </c>
      <c r="B94" s="15" t="n">
        <v>46257</v>
      </c>
      <c r="C94" s="4" t="s">
        <v>29</v>
      </c>
      <c r="D94" s="4" t="s">
        <v>124</v>
      </c>
      <c r="E94" s="17" t="s">
        <v>125</v>
      </c>
      <c r="F94" s="11" t="n">
        <v>24</v>
      </c>
      <c r="G94" s="4"/>
      <c r="H94" s="4"/>
      <c r="I94" s="17"/>
      <c r="J94" s="4" t="s">
        <v>71</v>
      </c>
      <c r="K94" s="4"/>
    </row>
    <row r="95" customFormat="false" ht="15" hidden="false" customHeight="false" outlineLevel="0" collapsed="false">
      <c r="A95" s="4" t="n">
        <v>234</v>
      </c>
      <c r="B95" s="15" t="n">
        <v>46257</v>
      </c>
      <c r="C95" s="4" t="s">
        <v>26</v>
      </c>
      <c r="D95" s="4" t="s">
        <v>110</v>
      </c>
      <c r="E95" s="17" t="s">
        <v>111</v>
      </c>
      <c r="F95" s="11" t="n">
        <v>81</v>
      </c>
      <c r="G95" s="4"/>
      <c r="H95" s="4"/>
      <c r="I95" s="17"/>
      <c r="J95" s="4" t="s">
        <v>71</v>
      </c>
      <c r="K95" s="4" t="s">
        <v>110</v>
      </c>
    </row>
    <row r="96" customFormat="false" ht="15" hidden="false" customHeight="false" outlineLevel="0" collapsed="false">
      <c r="A96" s="4" t="n">
        <v>235</v>
      </c>
      <c r="B96" s="15" t="n">
        <v>46259</v>
      </c>
      <c r="C96" s="4" t="s">
        <v>27</v>
      </c>
      <c r="D96" s="4" t="s">
        <v>129</v>
      </c>
      <c r="E96" s="17" t="s">
        <v>130</v>
      </c>
      <c r="F96" s="11" t="n">
        <v>89</v>
      </c>
      <c r="G96" s="4"/>
      <c r="H96" s="4"/>
      <c r="I96" s="17"/>
      <c r="J96" s="4" t="s">
        <v>71</v>
      </c>
      <c r="K96" s="4"/>
    </row>
    <row r="97" customFormat="false" ht="15" hidden="false" customHeight="false" outlineLevel="0" collapsed="false">
      <c r="A97" s="4" t="n">
        <v>236</v>
      </c>
      <c r="B97" s="15" t="n">
        <v>46260</v>
      </c>
      <c r="C97" s="4" t="s">
        <v>30</v>
      </c>
      <c r="D97" s="4" t="s">
        <v>120</v>
      </c>
      <c r="E97" s="17" t="s">
        <v>121</v>
      </c>
      <c r="F97" s="11" t="n">
        <v>39</v>
      </c>
      <c r="G97" s="4"/>
      <c r="H97" s="4"/>
      <c r="I97" s="17"/>
      <c r="J97" s="4" t="s">
        <v>71</v>
      </c>
      <c r="K97" s="4"/>
    </row>
    <row r="98" customFormat="false" ht="15" hidden="false" customHeight="false" outlineLevel="0" collapsed="false">
      <c r="A98" s="4" t="n">
        <v>237</v>
      </c>
      <c r="B98" s="15" t="n">
        <v>46260</v>
      </c>
      <c r="C98" s="4" t="s">
        <v>25</v>
      </c>
      <c r="D98" s="4" t="s">
        <v>117</v>
      </c>
      <c r="E98" s="17" t="s">
        <v>118</v>
      </c>
      <c r="F98" s="11" t="n">
        <v>24</v>
      </c>
      <c r="G98" s="4"/>
      <c r="H98" s="4"/>
      <c r="I98" s="17"/>
      <c r="J98" s="4" t="s">
        <v>71</v>
      </c>
      <c r="K98" s="4"/>
    </row>
    <row r="99" customFormat="false" ht="15" hidden="false" customHeight="false" outlineLevel="0" collapsed="false">
      <c r="A99" s="4" t="n">
        <v>238</v>
      </c>
      <c r="B99" s="15" t="n">
        <v>46260</v>
      </c>
      <c r="C99" s="4" t="s">
        <v>30</v>
      </c>
      <c r="D99" s="4" t="s">
        <v>157</v>
      </c>
      <c r="E99" s="17" t="s">
        <v>158</v>
      </c>
      <c r="F99" s="11" t="n">
        <v>60</v>
      </c>
      <c r="G99" s="4"/>
      <c r="H99" s="4"/>
      <c r="I99" s="17"/>
      <c r="J99" s="4" t="s">
        <v>72</v>
      </c>
      <c r="K99" s="4"/>
    </row>
    <row r="100" customFormat="false" ht="15" hidden="false" customHeight="false" outlineLevel="0" collapsed="false">
      <c r="A100" s="4" t="n">
        <v>239</v>
      </c>
      <c r="B100" s="15" t="n">
        <v>46262</v>
      </c>
      <c r="C100" s="4" t="s">
        <v>26</v>
      </c>
      <c r="D100" s="4" t="s">
        <v>140</v>
      </c>
      <c r="E100" s="17" t="s">
        <v>141</v>
      </c>
      <c r="F100" s="11" t="n">
        <v>80</v>
      </c>
      <c r="G100" s="4"/>
      <c r="H100" s="4"/>
      <c r="I100" s="17"/>
      <c r="J100" s="4" t="s">
        <v>71</v>
      </c>
      <c r="K100" s="4" t="s">
        <v>140</v>
      </c>
    </row>
    <row r="101" customFormat="false" ht="15" hidden="false" customHeight="false" outlineLevel="0" collapsed="false">
      <c r="A101" s="4" t="n">
        <v>240</v>
      </c>
      <c r="B101" s="15" t="n">
        <v>46262</v>
      </c>
      <c r="C101" s="4" t="s">
        <v>26</v>
      </c>
      <c r="D101" s="4" t="s">
        <v>110</v>
      </c>
      <c r="E101" s="17" t="s">
        <v>111</v>
      </c>
      <c r="F101" s="11" t="n">
        <v>59</v>
      </c>
      <c r="G101" s="4"/>
      <c r="H101" s="4"/>
      <c r="I101" s="17"/>
      <c r="J101" s="4" t="s">
        <v>71</v>
      </c>
      <c r="K101" s="4" t="s">
        <v>110</v>
      </c>
    </row>
    <row r="102" customFormat="false" ht="15" hidden="false" customHeight="false" outlineLevel="0" collapsed="false">
      <c r="A102" s="4" t="n">
        <v>241</v>
      </c>
      <c r="B102" s="15" t="n">
        <v>46263</v>
      </c>
      <c r="C102" s="4" t="s">
        <v>24</v>
      </c>
      <c r="D102" s="4" t="s">
        <v>132</v>
      </c>
      <c r="E102" s="17" t="s">
        <v>133</v>
      </c>
      <c r="F102" s="11" t="n">
        <v>24</v>
      </c>
      <c r="G102" s="4"/>
      <c r="H102" s="4"/>
      <c r="I102" s="17"/>
      <c r="J102" s="4" t="s">
        <v>71</v>
      </c>
      <c r="K102" s="4"/>
    </row>
    <row r="103" customFormat="false" ht="15" hidden="false" customHeight="false" outlineLevel="0" collapsed="false">
      <c r="A103" s="4" t="n">
        <v>242</v>
      </c>
      <c r="B103" s="15" t="n">
        <v>46263</v>
      </c>
      <c r="C103" s="4" t="s">
        <v>30</v>
      </c>
      <c r="D103" s="4" t="s">
        <v>120</v>
      </c>
      <c r="E103" s="17" t="s">
        <v>121</v>
      </c>
      <c r="F103" s="11" t="n">
        <v>29</v>
      </c>
      <c r="G103" s="4"/>
      <c r="H103" s="4"/>
      <c r="I103" s="17"/>
      <c r="J103" s="4" t="s">
        <v>71</v>
      </c>
      <c r="K103" s="4"/>
    </row>
    <row r="104" customFormat="false" ht="15" hidden="false" customHeight="false" outlineLevel="0" collapsed="false">
      <c r="A104" s="4" t="n">
        <v>243</v>
      </c>
      <c r="B104" s="15" t="n">
        <v>46263</v>
      </c>
      <c r="C104" s="4" t="s">
        <v>26</v>
      </c>
      <c r="D104" s="4" t="s">
        <v>110</v>
      </c>
      <c r="E104" s="17" t="s">
        <v>111</v>
      </c>
      <c r="F104" s="11" t="n">
        <v>80</v>
      </c>
      <c r="G104" s="4"/>
      <c r="H104" s="4"/>
      <c r="I104" s="17"/>
      <c r="J104" s="4" t="s">
        <v>71</v>
      </c>
      <c r="K104" s="4" t="s">
        <v>110</v>
      </c>
    </row>
    <row r="105" customFormat="false" ht="15" hidden="false" customHeight="false" outlineLevel="0" collapsed="false">
      <c r="A105" s="4" t="n">
        <v>244</v>
      </c>
      <c r="B105" s="15" t="n">
        <v>46264</v>
      </c>
      <c r="C105" s="4" t="s">
        <v>26</v>
      </c>
      <c r="D105" s="4" t="s">
        <v>110</v>
      </c>
      <c r="E105" s="17" t="s">
        <v>111</v>
      </c>
      <c r="F105" s="11" t="n">
        <v>69</v>
      </c>
      <c r="G105" s="4"/>
      <c r="H105" s="4"/>
      <c r="I105" s="17"/>
      <c r="J105" s="4" t="s">
        <v>71</v>
      </c>
      <c r="K105" s="4" t="s">
        <v>110</v>
      </c>
    </row>
    <row r="106" customFormat="false" ht="15" hidden="false" customHeight="false" outlineLevel="0" collapsed="false">
      <c r="A106" s="4" t="n">
        <v>245</v>
      </c>
      <c r="B106" s="15" t="n">
        <v>46264</v>
      </c>
      <c r="C106" s="4" t="s">
        <v>30</v>
      </c>
      <c r="D106" s="4" t="s">
        <v>157</v>
      </c>
      <c r="E106" s="17" t="s">
        <v>158</v>
      </c>
      <c r="F106" s="11" t="n">
        <v>90</v>
      </c>
      <c r="G106" s="4"/>
      <c r="H106" s="4"/>
      <c r="I106" s="17"/>
      <c r="J106" s="4" t="s">
        <v>72</v>
      </c>
      <c r="K106" s="4"/>
    </row>
    <row r="107" customFormat="false" ht="15" hidden="false" customHeight="false" outlineLevel="0" collapsed="false">
      <c r="A107" s="4" t="n">
        <v>246</v>
      </c>
      <c r="B107" s="15" t="n">
        <v>46265</v>
      </c>
      <c r="C107" s="4" t="s">
        <v>30</v>
      </c>
      <c r="D107" s="4" t="s">
        <v>120</v>
      </c>
      <c r="E107" s="17" t="s">
        <v>121</v>
      </c>
      <c r="F107" s="11" t="n">
        <v>28</v>
      </c>
      <c r="G107" s="4"/>
      <c r="H107" s="4"/>
      <c r="I107" s="17"/>
      <c r="J107" s="4" t="s">
        <v>71</v>
      </c>
      <c r="K107" s="4"/>
    </row>
    <row r="108" customFormat="false" ht="15" hidden="false" customHeight="false" outlineLevel="0" collapsed="false">
      <c r="A108" s="4" t="n">
        <v>247</v>
      </c>
      <c r="B108" s="15" t="n">
        <v>46265</v>
      </c>
      <c r="C108" s="4" t="s">
        <v>25</v>
      </c>
      <c r="D108" s="4" t="s">
        <v>117</v>
      </c>
      <c r="E108" s="17" t="s">
        <v>118</v>
      </c>
      <c r="F108" s="11" t="n">
        <v>27</v>
      </c>
      <c r="G108" s="4"/>
      <c r="H108" s="4"/>
      <c r="I108" s="17"/>
      <c r="J108" s="4" t="s">
        <v>71</v>
      </c>
      <c r="K108" s="4"/>
    </row>
    <row r="109" customFormat="false" ht="15" hidden="false" customHeight="false" outlineLevel="0" collapsed="false">
      <c r="A109" s="4" t="n">
        <v>248</v>
      </c>
      <c r="B109" s="15" t="n">
        <v>46265</v>
      </c>
      <c r="C109" s="4" t="s">
        <v>26</v>
      </c>
      <c r="D109" s="4" t="s">
        <v>110</v>
      </c>
      <c r="E109" s="17" t="s">
        <v>111</v>
      </c>
      <c r="F109" s="11" t="n">
        <v>78</v>
      </c>
      <c r="G109" s="4"/>
      <c r="H109" s="4"/>
      <c r="I109" s="17" t="s">
        <v>139</v>
      </c>
      <c r="J109" s="4" t="s">
        <v>71</v>
      </c>
      <c r="K109" s="4" t="s">
        <v>110</v>
      </c>
    </row>
    <row r="110" customFormat="false" ht="15" hidden="false" customHeight="false" outlineLevel="0" collapsed="false">
      <c r="A110" s="4" t="n">
        <v>249</v>
      </c>
      <c r="B110" s="15" t="n">
        <v>46265</v>
      </c>
      <c r="C110" s="4" t="s">
        <v>30</v>
      </c>
      <c r="D110" s="4" t="s">
        <v>157</v>
      </c>
      <c r="E110" s="17" t="s">
        <v>158</v>
      </c>
      <c r="F110" s="11" t="n">
        <v>90</v>
      </c>
      <c r="G110" s="4"/>
      <c r="H110" s="4"/>
      <c r="I110" s="17"/>
      <c r="J110" s="4" t="s">
        <v>72</v>
      </c>
      <c r="K110" s="4"/>
    </row>
    <row r="111" customFormat="false" ht="15" hidden="false" customHeight="false" outlineLevel="0" collapsed="false">
      <c r="A111" s="4" t="n">
        <v>250</v>
      </c>
      <c r="B111" s="15" t="n">
        <v>46267</v>
      </c>
      <c r="C111" s="4" t="s">
        <v>30</v>
      </c>
      <c r="D111" s="4" t="s">
        <v>120</v>
      </c>
      <c r="E111" s="17" t="s">
        <v>121</v>
      </c>
      <c r="F111" s="11" t="n">
        <v>16</v>
      </c>
      <c r="G111" s="4"/>
      <c r="H111" s="4"/>
      <c r="I111" s="17"/>
      <c r="J111" s="4" t="s">
        <v>71</v>
      </c>
      <c r="K111" s="4"/>
    </row>
    <row r="112" customFormat="false" ht="15" hidden="false" customHeight="false" outlineLevel="0" collapsed="false">
      <c r="A112" s="4" t="n">
        <v>251</v>
      </c>
      <c r="B112" s="15" t="n">
        <v>46267</v>
      </c>
      <c r="C112" s="4" t="s">
        <v>30</v>
      </c>
      <c r="D112" s="4" t="s">
        <v>157</v>
      </c>
      <c r="E112" s="17" t="s">
        <v>158</v>
      </c>
      <c r="F112" s="11" t="n">
        <v>120</v>
      </c>
      <c r="G112" s="4"/>
      <c r="H112" s="4"/>
      <c r="I112" s="17"/>
      <c r="J112" s="4" t="s">
        <v>72</v>
      </c>
      <c r="K112" s="4"/>
    </row>
    <row r="113" customFormat="false" ht="15" hidden="false" customHeight="false" outlineLevel="0" collapsed="false">
      <c r="A113" s="4" t="n">
        <v>252</v>
      </c>
      <c r="B113" s="15" t="n">
        <v>46268</v>
      </c>
      <c r="C113" s="4" t="s">
        <v>25</v>
      </c>
      <c r="D113" s="4" t="s">
        <v>117</v>
      </c>
      <c r="E113" s="17" t="s">
        <v>118</v>
      </c>
      <c r="F113" s="11" t="n">
        <v>17</v>
      </c>
      <c r="G113" s="4"/>
      <c r="H113" s="4"/>
      <c r="I113" s="17"/>
      <c r="J113" s="4" t="s">
        <v>71</v>
      </c>
      <c r="K113" s="4"/>
    </row>
    <row r="114" customFormat="false" ht="15" hidden="false" customHeight="false" outlineLevel="0" collapsed="false">
      <c r="A114" s="4" t="n">
        <v>253</v>
      </c>
      <c r="B114" s="15" t="n">
        <v>46268</v>
      </c>
      <c r="C114" s="4" t="s">
        <v>24</v>
      </c>
      <c r="D114" s="4" t="s">
        <v>132</v>
      </c>
      <c r="E114" s="17" t="s">
        <v>133</v>
      </c>
      <c r="F114" s="11" t="n">
        <v>12</v>
      </c>
      <c r="G114" s="4"/>
      <c r="H114" s="4"/>
      <c r="I114" s="17"/>
      <c r="J114" s="4" t="s">
        <v>71</v>
      </c>
      <c r="K114" s="4"/>
    </row>
    <row r="115" customFormat="false" ht="15" hidden="false" customHeight="false" outlineLevel="0" collapsed="false">
      <c r="A115" s="4" t="n">
        <v>254</v>
      </c>
      <c r="B115" s="15" t="n">
        <v>46268</v>
      </c>
      <c r="C115" s="4" t="s">
        <v>29</v>
      </c>
      <c r="D115" s="4" t="s">
        <v>124</v>
      </c>
      <c r="E115" s="17" t="s">
        <v>125</v>
      </c>
      <c r="F115" s="11" t="n">
        <v>20</v>
      </c>
      <c r="G115" s="4"/>
      <c r="H115" s="4"/>
      <c r="I115" s="17"/>
      <c r="J115" s="4" t="s">
        <v>71</v>
      </c>
      <c r="K115" s="4"/>
    </row>
    <row r="116" customFormat="false" ht="15" hidden="false" customHeight="false" outlineLevel="0" collapsed="false">
      <c r="A116" s="4" t="n">
        <v>255</v>
      </c>
      <c r="B116" s="15" t="n">
        <v>46269</v>
      </c>
      <c r="C116" s="4" t="s">
        <v>26</v>
      </c>
      <c r="D116" s="4" t="s">
        <v>142</v>
      </c>
      <c r="E116" s="17" t="s">
        <v>143</v>
      </c>
      <c r="F116" s="11" t="n">
        <v>86</v>
      </c>
      <c r="G116" s="4"/>
      <c r="H116" s="4"/>
      <c r="I116" s="17"/>
      <c r="J116" s="4" t="s">
        <v>71</v>
      </c>
      <c r="K116" s="4"/>
    </row>
    <row r="117" customFormat="false" ht="15" hidden="false" customHeight="false" outlineLevel="0" collapsed="false">
      <c r="A117" s="4" t="n">
        <v>256</v>
      </c>
      <c r="B117" s="15" t="n">
        <v>46269</v>
      </c>
      <c r="C117" s="4" t="s">
        <v>26</v>
      </c>
      <c r="D117" s="4" t="s">
        <v>110</v>
      </c>
      <c r="E117" s="17" t="s">
        <v>111</v>
      </c>
      <c r="F117" s="11" t="n">
        <v>52</v>
      </c>
      <c r="G117" s="4"/>
      <c r="H117" s="4"/>
      <c r="I117" s="17"/>
      <c r="J117" s="4" t="s">
        <v>71</v>
      </c>
      <c r="K117" s="4" t="s">
        <v>110</v>
      </c>
    </row>
    <row r="118" customFormat="false" ht="15" hidden="false" customHeight="false" outlineLevel="0" collapsed="false">
      <c r="A118" s="4" t="n">
        <v>257</v>
      </c>
      <c r="B118" s="15" t="n">
        <v>46270</v>
      </c>
      <c r="C118" s="4" t="s">
        <v>29</v>
      </c>
      <c r="D118" s="4" t="s">
        <v>124</v>
      </c>
      <c r="E118" s="17" t="s">
        <v>125</v>
      </c>
      <c r="F118" s="11" t="n">
        <v>25</v>
      </c>
      <c r="G118" s="4"/>
      <c r="H118" s="4"/>
      <c r="I118" s="17"/>
      <c r="J118" s="4" t="s">
        <v>71</v>
      </c>
      <c r="K118" s="4"/>
    </row>
    <row r="119" customFormat="false" ht="15" hidden="false" customHeight="false" outlineLevel="0" collapsed="false">
      <c r="A119" s="4" t="n">
        <v>258</v>
      </c>
      <c r="B119" s="15" t="n">
        <v>46270</v>
      </c>
      <c r="C119" s="4" t="s">
        <v>24</v>
      </c>
      <c r="D119" s="4" t="s">
        <v>126</v>
      </c>
      <c r="E119" s="17" t="s">
        <v>127</v>
      </c>
      <c r="F119" s="11" t="n">
        <v>15</v>
      </c>
      <c r="G119" s="4"/>
      <c r="H119" s="4"/>
      <c r="I119" s="17"/>
      <c r="J119" s="4" t="s">
        <v>71</v>
      </c>
      <c r="K119" s="4"/>
    </row>
    <row r="120" customFormat="false" ht="15" hidden="false" customHeight="false" outlineLevel="0" collapsed="false">
      <c r="A120" s="4" t="n">
        <v>259</v>
      </c>
      <c r="B120" s="15" t="n">
        <v>46270</v>
      </c>
      <c r="C120" s="4" t="s">
        <v>30</v>
      </c>
      <c r="D120" s="4" t="s">
        <v>157</v>
      </c>
      <c r="E120" s="17" t="s">
        <v>158</v>
      </c>
      <c r="F120" s="11" t="n">
        <v>90</v>
      </c>
      <c r="G120" s="4"/>
      <c r="H120" s="4"/>
      <c r="I120" s="17"/>
      <c r="J120" s="4" t="s">
        <v>72</v>
      </c>
      <c r="K120" s="4"/>
    </row>
    <row r="121" customFormat="false" ht="15" hidden="false" customHeight="false" outlineLevel="0" collapsed="false">
      <c r="A121" s="4" t="n">
        <v>260</v>
      </c>
      <c r="B121" s="15" t="n">
        <v>46271</v>
      </c>
      <c r="C121" s="4" t="s">
        <v>24</v>
      </c>
      <c r="D121" s="4" t="s">
        <v>126</v>
      </c>
      <c r="E121" s="17" t="s">
        <v>127</v>
      </c>
      <c r="F121" s="11" t="n">
        <v>22</v>
      </c>
      <c r="G121" s="4"/>
      <c r="H121" s="4"/>
      <c r="I121" s="17"/>
      <c r="J121" s="4" t="s">
        <v>71</v>
      </c>
      <c r="K121" s="4"/>
    </row>
    <row r="122" customFormat="false" ht="15" hidden="false" customHeight="false" outlineLevel="0" collapsed="false">
      <c r="A122" s="4" t="n">
        <v>261</v>
      </c>
      <c r="B122" s="15" t="n">
        <v>46271</v>
      </c>
      <c r="C122" s="4" t="s">
        <v>26</v>
      </c>
      <c r="D122" s="4" t="s">
        <v>110</v>
      </c>
      <c r="E122" s="17" t="s">
        <v>111</v>
      </c>
      <c r="F122" s="11" t="n">
        <v>75</v>
      </c>
      <c r="G122" s="4"/>
      <c r="H122" s="4"/>
      <c r="I122" s="17" t="s">
        <v>144</v>
      </c>
      <c r="J122" s="4" t="s">
        <v>71</v>
      </c>
      <c r="K122" s="4" t="s">
        <v>110</v>
      </c>
    </row>
    <row r="123" customFormat="false" ht="15" hidden="false" customHeight="false" outlineLevel="0" collapsed="false">
      <c r="A123" s="4" t="n">
        <v>262</v>
      </c>
      <c r="B123" s="15" t="n">
        <v>46271</v>
      </c>
      <c r="C123" s="4" t="s">
        <v>30</v>
      </c>
      <c r="D123" s="4" t="s">
        <v>157</v>
      </c>
      <c r="E123" s="17" t="s">
        <v>158</v>
      </c>
      <c r="F123" s="11" t="n">
        <v>90</v>
      </c>
      <c r="G123" s="4"/>
      <c r="H123" s="4"/>
      <c r="I123" s="17"/>
      <c r="J123" s="4" t="s">
        <v>72</v>
      </c>
      <c r="K123" s="4"/>
    </row>
    <row r="124" customFormat="false" ht="15" hidden="false" customHeight="false" outlineLevel="0" collapsed="false">
      <c r="A124" s="4" t="n">
        <v>263</v>
      </c>
      <c r="B124" s="15" t="n">
        <v>46272</v>
      </c>
      <c r="C124" s="4" t="s">
        <v>30</v>
      </c>
      <c r="D124" s="4" t="s">
        <v>157</v>
      </c>
      <c r="E124" s="17" t="s">
        <v>158</v>
      </c>
      <c r="F124" s="11" t="n">
        <v>90</v>
      </c>
      <c r="G124" s="4"/>
      <c r="H124" s="4"/>
      <c r="I124" s="17"/>
      <c r="J124" s="4" t="s">
        <v>72</v>
      </c>
      <c r="K124" s="4"/>
    </row>
    <row r="125" customFormat="false" ht="15" hidden="false" customHeight="false" outlineLevel="0" collapsed="false">
      <c r="A125" s="4" t="n">
        <v>264</v>
      </c>
      <c r="B125" s="15" t="n">
        <v>46276</v>
      </c>
      <c r="C125" s="4" t="s">
        <v>27</v>
      </c>
      <c r="D125" s="4" t="s">
        <v>135</v>
      </c>
      <c r="E125" s="17" t="s">
        <v>136</v>
      </c>
      <c r="F125" s="11" t="n">
        <v>66</v>
      </c>
      <c r="G125" s="4"/>
      <c r="H125" s="4"/>
      <c r="I125" s="17"/>
      <c r="J125" s="4" t="s">
        <v>71</v>
      </c>
      <c r="K125" s="4"/>
    </row>
    <row r="126" customFormat="false" ht="15" hidden="false" customHeight="false" outlineLevel="0" collapsed="false">
      <c r="A126" s="4" t="n">
        <v>265</v>
      </c>
      <c r="B126" s="15" t="n">
        <v>46276</v>
      </c>
      <c r="C126" s="4" t="s">
        <v>28</v>
      </c>
      <c r="D126" s="4" t="s">
        <v>114</v>
      </c>
      <c r="E126" s="17" t="s">
        <v>115</v>
      </c>
      <c r="F126" s="11" t="n">
        <v>30</v>
      </c>
      <c r="G126" s="4"/>
      <c r="H126" s="4"/>
      <c r="I126" s="17"/>
      <c r="J126" s="4" t="s">
        <v>71</v>
      </c>
      <c r="K126" s="4"/>
    </row>
    <row r="127" customFormat="false" ht="15" hidden="false" customHeight="false" outlineLevel="0" collapsed="false">
      <c r="A127" s="4" t="n">
        <v>266</v>
      </c>
      <c r="B127" s="15" t="n">
        <v>46276</v>
      </c>
      <c r="C127" s="4" t="s">
        <v>27</v>
      </c>
      <c r="D127" s="4" t="s">
        <v>129</v>
      </c>
      <c r="E127" s="17" t="s">
        <v>130</v>
      </c>
      <c r="F127" s="11" t="n">
        <v>111</v>
      </c>
      <c r="G127" s="4"/>
      <c r="H127" s="4"/>
      <c r="I127" s="17"/>
      <c r="J127" s="4" t="s">
        <v>71</v>
      </c>
      <c r="K127" s="4"/>
    </row>
    <row r="128" customFormat="false" ht="15" hidden="false" customHeight="false" outlineLevel="0" collapsed="false">
      <c r="A128" s="4" t="n">
        <v>267</v>
      </c>
      <c r="B128" s="15" t="n">
        <v>46279</v>
      </c>
      <c r="C128" s="4" t="s">
        <v>29</v>
      </c>
      <c r="D128" s="4" t="s">
        <v>124</v>
      </c>
      <c r="E128" s="17" t="s">
        <v>125</v>
      </c>
      <c r="F128" s="11" t="n">
        <v>20</v>
      </c>
      <c r="G128" s="4"/>
      <c r="H128" s="4"/>
      <c r="I128" s="17"/>
      <c r="J128" s="4" t="s">
        <v>71</v>
      </c>
      <c r="K128" s="4"/>
    </row>
    <row r="129" customFormat="false" ht="15" hidden="false" customHeight="false" outlineLevel="0" collapsed="false">
      <c r="A129" s="4" t="n">
        <v>268</v>
      </c>
      <c r="B129" s="15" t="n">
        <v>46279</v>
      </c>
      <c r="C129" s="4" t="s">
        <v>26</v>
      </c>
      <c r="D129" s="4" t="s">
        <v>110</v>
      </c>
      <c r="E129" s="17" t="s">
        <v>111</v>
      </c>
      <c r="F129" s="11" t="n">
        <v>77</v>
      </c>
      <c r="G129" s="4"/>
      <c r="H129" s="4"/>
      <c r="I129" s="17"/>
      <c r="J129" s="4" t="s">
        <v>71</v>
      </c>
      <c r="K129" s="4" t="s">
        <v>110</v>
      </c>
    </row>
    <row r="130" customFormat="false" ht="15" hidden="false" customHeight="false" outlineLevel="0" collapsed="false">
      <c r="A130" s="4" t="n">
        <v>269</v>
      </c>
      <c r="B130" s="15" t="n">
        <v>46279</v>
      </c>
      <c r="C130" s="4" t="s">
        <v>30</v>
      </c>
      <c r="D130" s="4" t="s">
        <v>157</v>
      </c>
      <c r="E130" s="17" t="s">
        <v>158</v>
      </c>
      <c r="F130" s="11" t="n">
        <v>90</v>
      </c>
      <c r="G130" s="4"/>
      <c r="H130" s="4"/>
      <c r="I130" s="17"/>
      <c r="J130" s="4" t="s">
        <v>72</v>
      </c>
      <c r="K130" s="4"/>
    </row>
    <row r="131" customFormat="false" ht="15" hidden="false" customHeight="false" outlineLevel="0" collapsed="false">
      <c r="A131" s="4" t="n">
        <v>270</v>
      </c>
      <c r="B131" s="15" t="n">
        <v>46280</v>
      </c>
      <c r="C131" s="4" t="s">
        <v>25</v>
      </c>
      <c r="D131" s="4" t="s">
        <v>117</v>
      </c>
      <c r="E131" s="17" t="s">
        <v>118</v>
      </c>
      <c r="F131" s="11" t="n">
        <v>20</v>
      </c>
      <c r="G131" s="4"/>
      <c r="H131" s="4"/>
      <c r="I131" s="17"/>
      <c r="J131" s="4" t="s">
        <v>71</v>
      </c>
      <c r="K131" s="4"/>
    </row>
    <row r="132" customFormat="false" ht="15" hidden="false" customHeight="false" outlineLevel="0" collapsed="false">
      <c r="A132" s="4" t="n">
        <v>271</v>
      </c>
      <c r="B132" s="15" t="n">
        <v>46280</v>
      </c>
      <c r="C132" s="4" t="s">
        <v>24</v>
      </c>
      <c r="D132" s="4" t="s">
        <v>132</v>
      </c>
      <c r="E132" s="17" t="s">
        <v>133</v>
      </c>
      <c r="F132" s="11" t="n">
        <v>12</v>
      </c>
      <c r="G132" s="4"/>
      <c r="H132" s="4"/>
      <c r="I132" s="17"/>
      <c r="J132" s="4" t="s">
        <v>71</v>
      </c>
      <c r="K132" s="4"/>
    </row>
    <row r="133" customFormat="false" ht="15" hidden="false" customHeight="false" outlineLevel="0" collapsed="false">
      <c r="A133" s="4" t="n">
        <v>272</v>
      </c>
      <c r="B133" s="15" t="n">
        <v>46280</v>
      </c>
      <c r="C133" s="4" t="s">
        <v>26</v>
      </c>
      <c r="D133" s="4" t="s">
        <v>142</v>
      </c>
      <c r="E133" s="17" t="s">
        <v>143</v>
      </c>
      <c r="F133" s="11" t="n">
        <v>68</v>
      </c>
      <c r="G133" s="4"/>
      <c r="H133" s="4"/>
      <c r="I133" s="17"/>
      <c r="J133" s="4" t="s">
        <v>71</v>
      </c>
      <c r="K133" s="4"/>
    </row>
    <row r="134" customFormat="false" ht="15" hidden="false" customHeight="false" outlineLevel="0" collapsed="false">
      <c r="A134" s="4" t="n">
        <v>273</v>
      </c>
      <c r="B134" s="15" t="n">
        <v>46280</v>
      </c>
      <c r="C134" s="4" t="s">
        <v>26</v>
      </c>
      <c r="D134" s="4" t="s">
        <v>140</v>
      </c>
      <c r="E134" s="17" t="s">
        <v>141</v>
      </c>
      <c r="F134" s="11" t="n">
        <v>71</v>
      </c>
      <c r="G134" s="4"/>
      <c r="H134" s="4"/>
      <c r="I134" s="17" t="s">
        <v>139</v>
      </c>
      <c r="J134" s="4" t="s">
        <v>71</v>
      </c>
      <c r="K134" s="4" t="s">
        <v>140</v>
      </c>
    </row>
    <row r="135" customFormat="false" ht="15" hidden="false" customHeight="false" outlineLevel="0" collapsed="false">
      <c r="A135" s="4" t="n">
        <v>274</v>
      </c>
      <c r="B135" s="15" t="n">
        <v>46281</v>
      </c>
      <c r="C135" s="4" t="s">
        <v>24</v>
      </c>
      <c r="D135" s="4" t="s">
        <v>126</v>
      </c>
      <c r="E135" s="17" t="s">
        <v>127</v>
      </c>
      <c r="F135" s="11" t="n">
        <v>14</v>
      </c>
      <c r="G135" s="4"/>
      <c r="H135" s="4"/>
      <c r="I135" s="17"/>
      <c r="J135" s="4" t="s">
        <v>71</v>
      </c>
      <c r="K135" s="4"/>
    </row>
    <row r="136" customFormat="false" ht="15" hidden="false" customHeight="false" outlineLevel="0" collapsed="false">
      <c r="A136" s="4" t="n">
        <v>275</v>
      </c>
      <c r="B136" s="15" t="n">
        <v>46281</v>
      </c>
      <c r="C136" s="4" t="s">
        <v>29</v>
      </c>
      <c r="D136" s="4" t="s">
        <v>124</v>
      </c>
      <c r="E136" s="17" t="s">
        <v>125</v>
      </c>
      <c r="F136" s="11" t="n">
        <v>13</v>
      </c>
      <c r="G136" s="4"/>
      <c r="H136" s="4"/>
      <c r="I136" s="17"/>
      <c r="J136" s="4" t="s">
        <v>71</v>
      </c>
      <c r="K136" s="4"/>
    </row>
    <row r="137" customFormat="false" ht="15" hidden="false" customHeight="false" outlineLevel="0" collapsed="false">
      <c r="A137" s="4" t="n">
        <v>276</v>
      </c>
      <c r="B137" s="15" t="n">
        <v>46281</v>
      </c>
      <c r="C137" s="4" t="s">
        <v>26</v>
      </c>
      <c r="D137" s="4" t="s">
        <v>110</v>
      </c>
      <c r="E137" s="17" t="s">
        <v>111</v>
      </c>
      <c r="F137" s="11" t="n">
        <v>36</v>
      </c>
      <c r="G137" s="4"/>
      <c r="H137" s="4"/>
      <c r="I137" s="17" t="s">
        <v>151</v>
      </c>
      <c r="J137" s="4" t="s">
        <v>71</v>
      </c>
      <c r="K137" s="4" t="s">
        <v>110</v>
      </c>
    </row>
    <row r="138" customFormat="false" ht="15" hidden="false" customHeight="false" outlineLevel="0" collapsed="false">
      <c r="A138" s="4" t="n">
        <v>277</v>
      </c>
      <c r="B138" s="15" t="n">
        <v>46282</v>
      </c>
      <c r="C138" s="4" t="s">
        <v>30</v>
      </c>
      <c r="D138" s="4" t="s">
        <v>157</v>
      </c>
      <c r="E138" s="17" t="s">
        <v>158</v>
      </c>
      <c r="F138" s="11" t="n">
        <v>60</v>
      </c>
      <c r="G138" s="4"/>
      <c r="H138" s="4"/>
      <c r="I138" s="17"/>
      <c r="J138" s="4" t="s">
        <v>72</v>
      </c>
      <c r="K138" s="4"/>
    </row>
    <row r="139" customFormat="false" ht="15" hidden="false" customHeight="false" outlineLevel="0" collapsed="false">
      <c r="A139" s="4" t="n">
        <v>278</v>
      </c>
      <c r="B139" s="15" t="n">
        <v>46283</v>
      </c>
      <c r="C139" s="4" t="s">
        <v>28</v>
      </c>
      <c r="D139" s="4" t="s">
        <v>114</v>
      </c>
      <c r="E139" s="17" t="s">
        <v>115</v>
      </c>
      <c r="F139" s="11" t="n">
        <v>18</v>
      </c>
      <c r="G139" s="4"/>
      <c r="H139" s="4"/>
      <c r="I139" s="17"/>
      <c r="J139" s="4" t="s">
        <v>71</v>
      </c>
      <c r="K139" s="4"/>
    </row>
    <row r="140" customFormat="false" ht="15" hidden="false" customHeight="false" outlineLevel="0" collapsed="false">
      <c r="A140" s="4" t="n">
        <v>279</v>
      </c>
      <c r="B140" s="15" t="n">
        <v>46283</v>
      </c>
      <c r="C140" s="4" t="s">
        <v>27</v>
      </c>
      <c r="D140" s="4" t="s">
        <v>129</v>
      </c>
      <c r="E140" s="17" t="s">
        <v>130</v>
      </c>
      <c r="F140" s="11" t="n">
        <v>49</v>
      </c>
      <c r="G140" s="4"/>
      <c r="H140" s="4"/>
      <c r="I140" s="17"/>
      <c r="J140" s="4" t="s">
        <v>71</v>
      </c>
      <c r="K140" s="4"/>
    </row>
    <row r="141" customFormat="false" ht="15" hidden="false" customHeight="false" outlineLevel="0" collapsed="false">
      <c r="A141" s="4" t="n">
        <v>280</v>
      </c>
      <c r="B141" s="15" t="n">
        <v>46283</v>
      </c>
      <c r="C141" s="4" t="s">
        <v>30</v>
      </c>
      <c r="D141" s="4" t="s">
        <v>157</v>
      </c>
      <c r="E141" s="17" t="s">
        <v>158</v>
      </c>
      <c r="F141" s="11" t="n">
        <v>60</v>
      </c>
      <c r="G141" s="4"/>
      <c r="H141" s="4"/>
      <c r="I141" s="17"/>
      <c r="J141" s="4" t="s">
        <v>72</v>
      </c>
      <c r="K141" s="4"/>
    </row>
    <row r="142" customFormat="false" ht="15" hidden="false" customHeight="false" outlineLevel="0" collapsed="false">
      <c r="A142" s="4" t="n">
        <v>281</v>
      </c>
      <c r="B142" s="15" t="n">
        <v>46285</v>
      </c>
      <c r="C142" s="4" t="s">
        <v>24</v>
      </c>
      <c r="D142" s="4" t="s">
        <v>126</v>
      </c>
      <c r="E142" s="17" t="s">
        <v>127</v>
      </c>
      <c r="F142" s="11" t="n">
        <v>16</v>
      </c>
      <c r="G142" s="4"/>
      <c r="H142" s="4"/>
      <c r="I142" s="17"/>
      <c r="J142" s="4" t="s">
        <v>71</v>
      </c>
      <c r="K142" s="4"/>
    </row>
    <row r="143" customFormat="false" ht="15" hidden="false" customHeight="false" outlineLevel="0" collapsed="false">
      <c r="A143" s="4" t="n">
        <v>282</v>
      </c>
      <c r="B143" s="15" t="n">
        <v>46285</v>
      </c>
      <c r="C143" s="4" t="s">
        <v>25</v>
      </c>
      <c r="D143" s="4" t="s">
        <v>117</v>
      </c>
      <c r="E143" s="17" t="s">
        <v>118</v>
      </c>
      <c r="F143" s="11" t="n">
        <v>19</v>
      </c>
      <c r="G143" s="4"/>
      <c r="H143" s="4"/>
      <c r="I143" s="17"/>
      <c r="J143" s="4" t="s">
        <v>71</v>
      </c>
      <c r="K143" s="4"/>
    </row>
    <row r="144" customFormat="false" ht="15" hidden="false" customHeight="false" outlineLevel="0" collapsed="false">
      <c r="A144" s="4" t="n">
        <v>283</v>
      </c>
      <c r="B144" s="15" t="n">
        <v>46285</v>
      </c>
      <c r="C144" s="4" t="s">
        <v>29</v>
      </c>
      <c r="D144" s="4" t="s">
        <v>124</v>
      </c>
      <c r="E144" s="17" t="s">
        <v>125</v>
      </c>
      <c r="F144" s="11" t="n">
        <v>31</v>
      </c>
      <c r="G144" s="4"/>
      <c r="H144" s="4"/>
      <c r="I144" s="17"/>
      <c r="J144" s="4" t="s">
        <v>71</v>
      </c>
      <c r="K144" s="4"/>
    </row>
    <row r="145" customFormat="false" ht="15" hidden="false" customHeight="false" outlineLevel="0" collapsed="false">
      <c r="A145" s="4" t="n">
        <v>284</v>
      </c>
      <c r="B145" s="15" t="n">
        <v>46285</v>
      </c>
      <c r="C145" s="4" t="s">
        <v>30</v>
      </c>
      <c r="D145" s="4" t="s">
        <v>157</v>
      </c>
      <c r="E145" s="17" t="s">
        <v>158</v>
      </c>
      <c r="F145" s="11" t="n">
        <v>90</v>
      </c>
      <c r="G145" s="4"/>
      <c r="H145" s="4"/>
      <c r="I145" s="17"/>
      <c r="J145" s="4" t="s">
        <v>72</v>
      </c>
      <c r="K145" s="4"/>
    </row>
    <row r="146" customFormat="false" ht="15" hidden="false" customHeight="false" outlineLevel="0" collapsed="false">
      <c r="A146" s="4" t="n">
        <v>285</v>
      </c>
      <c r="B146" s="15" t="n">
        <v>46286</v>
      </c>
      <c r="C146" s="4" t="s">
        <v>27</v>
      </c>
      <c r="D146" s="4" t="s">
        <v>135</v>
      </c>
      <c r="E146" s="17" t="s">
        <v>136</v>
      </c>
      <c r="F146" s="11" t="n">
        <v>54</v>
      </c>
      <c r="G146" s="4"/>
      <c r="H146" s="4"/>
      <c r="I146" s="17"/>
      <c r="J146" s="4" t="s">
        <v>71</v>
      </c>
      <c r="K146" s="4"/>
    </row>
    <row r="147" customFormat="false" ht="15" hidden="false" customHeight="false" outlineLevel="0" collapsed="false">
      <c r="A147" s="4" t="n">
        <v>286</v>
      </c>
      <c r="B147" s="15" t="n">
        <v>46286</v>
      </c>
      <c r="C147" s="4" t="s">
        <v>26</v>
      </c>
      <c r="D147" s="4" t="s">
        <v>142</v>
      </c>
      <c r="E147" s="17" t="s">
        <v>143</v>
      </c>
      <c r="F147" s="11" t="n">
        <v>62</v>
      </c>
      <c r="G147" s="4"/>
      <c r="H147" s="4"/>
      <c r="I147" s="17"/>
      <c r="J147" s="4" t="s">
        <v>71</v>
      </c>
      <c r="K147" s="4"/>
    </row>
    <row r="148" customFormat="false" ht="15" hidden="false" customHeight="false" outlineLevel="0" collapsed="false">
      <c r="A148" s="4" t="n">
        <v>287</v>
      </c>
      <c r="B148" s="15" t="n">
        <v>46286</v>
      </c>
      <c r="C148" s="4" t="s">
        <v>24</v>
      </c>
      <c r="D148" s="4" t="s">
        <v>126</v>
      </c>
      <c r="E148" s="17" t="s">
        <v>127</v>
      </c>
      <c r="F148" s="11" t="n">
        <v>21</v>
      </c>
      <c r="G148" s="4"/>
      <c r="H148" s="4"/>
      <c r="I148" s="17"/>
      <c r="J148" s="4" t="s">
        <v>71</v>
      </c>
      <c r="K148" s="4"/>
    </row>
    <row r="149" customFormat="false" ht="15" hidden="false" customHeight="false" outlineLevel="0" collapsed="false">
      <c r="A149" s="4" t="n">
        <v>288</v>
      </c>
      <c r="B149" s="15" t="n">
        <v>46286</v>
      </c>
      <c r="C149" s="4" t="s">
        <v>30</v>
      </c>
      <c r="D149" s="4" t="s">
        <v>157</v>
      </c>
      <c r="E149" s="17" t="s">
        <v>158</v>
      </c>
      <c r="F149" s="11" t="n">
        <v>60</v>
      </c>
      <c r="G149" s="4"/>
      <c r="H149" s="4"/>
      <c r="I149" s="17"/>
      <c r="J149" s="4" t="s">
        <v>72</v>
      </c>
      <c r="K149" s="4"/>
    </row>
    <row r="150" customFormat="false" ht="15" hidden="false" customHeight="false" outlineLevel="0" collapsed="false">
      <c r="A150" s="4" t="n">
        <v>289</v>
      </c>
      <c r="B150" s="15" t="n">
        <v>46287</v>
      </c>
      <c r="C150" s="4" t="s">
        <v>27</v>
      </c>
      <c r="D150" s="4" t="s">
        <v>129</v>
      </c>
      <c r="E150" s="17" t="s">
        <v>130</v>
      </c>
      <c r="F150" s="11" t="n">
        <v>85</v>
      </c>
      <c r="G150" s="4"/>
      <c r="H150" s="4"/>
      <c r="I150" s="17"/>
      <c r="J150" s="4" t="s">
        <v>71</v>
      </c>
      <c r="K150" s="4"/>
    </row>
    <row r="151" customFormat="false" ht="15" hidden="false" customHeight="false" outlineLevel="0" collapsed="false">
      <c r="A151" s="4" t="n">
        <v>290</v>
      </c>
      <c r="B151" s="15" t="n">
        <v>46287</v>
      </c>
      <c r="C151" s="4" t="s">
        <v>24</v>
      </c>
      <c r="D151" s="4" t="s">
        <v>126</v>
      </c>
      <c r="E151" s="17" t="s">
        <v>127</v>
      </c>
      <c r="F151" s="11" t="n">
        <v>21</v>
      </c>
      <c r="G151" s="4"/>
      <c r="H151" s="4"/>
      <c r="I151" s="17"/>
      <c r="J151" s="4" t="s">
        <v>71</v>
      </c>
      <c r="K151" s="4"/>
    </row>
    <row r="152" customFormat="false" ht="15" hidden="false" customHeight="false" outlineLevel="0" collapsed="false">
      <c r="A152" s="4" t="n">
        <v>291</v>
      </c>
      <c r="B152" s="15" t="n">
        <v>46287</v>
      </c>
      <c r="C152" s="4" t="s">
        <v>30</v>
      </c>
      <c r="D152" s="4" t="s">
        <v>157</v>
      </c>
      <c r="E152" s="17" t="s">
        <v>158</v>
      </c>
      <c r="F152" s="11" t="n">
        <v>90</v>
      </c>
      <c r="G152" s="4"/>
      <c r="H152" s="4"/>
      <c r="I152" s="17"/>
      <c r="J152" s="4" t="s">
        <v>72</v>
      </c>
      <c r="K152" s="4"/>
    </row>
    <row r="153" customFormat="false" ht="15" hidden="false" customHeight="false" outlineLevel="0" collapsed="false">
      <c r="A153" s="4" t="n">
        <v>292</v>
      </c>
      <c r="B153" s="15" t="n">
        <v>46288</v>
      </c>
      <c r="C153" s="4" t="s">
        <v>24</v>
      </c>
      <c r="D153" s="4" t="s">
        <v>132</v>
      </c>
      <c r="E153" s="17" t="s">
        <v>133</v>
      </c>
      <c r="F153" s="11" t="n">
        <v>12</v>
      </c>
      <c r="G153" s="4"/>
      <c r="H153" s="4"/>
      <c r="I153" s="17"/>
      <c r="J153" s="4" t="s">
        <v>71</v>
      </c>
      <c r="K153" s="4"/>
    </row>
    <row r="154" customFormat="false" ht="15" hidden="false" customHeight="false" outlineLevel="0" collapsed="false">
      <c r="A154" s="4" t="n">
        <v>293</v>
      </c>
      <c r="B154" s="15" t="n">
        <v>46288</v>
      </c>
      <c r="C154" s="4" t="s">
        <v>28</v>
      </c>
      <c r="D154" s="4" t="s">
        <v>114</v>
      </c>
      <c r="E154" s="17" t="s">
        <v>115</v>
      </c>
      <c r="F154" s="11" t="n">
        <v>15</v>
      </c>
      <c r="G154" s="4"/>
      <c r="H154" s="4"/>
      <c r="I154" s="17"/>
      <c r="J154" s="4" t="s">
        <v>71</v>
      </c>
      <c r="K154" s="4"/>
    </row>
    <row r="155" customFormat="false" ht="15" hidden="false" customHeight="false" outlineLevel="0" collapsed="false">
      <c r="A155" s="4" t="n">
        <v>294</v>
      </c>
      <c r="B155" s="15" t="n">
        <v>46289</v>
      </c>
      <c r="C155" s="4" t="s">
        <v>24</v>
      </c>
      <c r="D155" s="4" t="s">
        <v>132</v>
      </c>
      <c r="E155" s="17" t="s">
        <v>133</v>
      </c>
      <c r="F155" s="11" t="n">
        <v>21</v>
      </c>
      <c r="G155" s="4"/>
      <c r="H155" s="4"/>
      <c r="I155" s="17"/>
      <c r="J155" s="4" t="s">
        <v>71</v>
      </c>
      <c r="K155" s="4"/>
    </row>
    <row r="156" customFormat="false" ht="15" hidden="false" customHeight="false" outlineLevel="0" collapsed="false">
      <c r="A156" s="4" t="n">
        <v>295</v>
      </c>
      <c r="B156" s="15" t="n">
        <v>46289</v>
      </c>
      <c r="C156" s="4" t="s">
        <v>24</v>
      </c>
      <c r="D156" s="4" t="s">
        <v>126</v>
      </c>
      <c r="E156" s="17" t="s">
        <v>127</v>
      </c>
      <c r="F156" s="11" t="n">
        <v>16</v>
      </c>
      <c r="G156" s="4"/>
      <c r="H156" s="4"/>
      <c r="I156" s="17"/>
      <c r="J156" s="4" t="s">
        <v>71</v>
      </c>
      <c r="K156" s="4"/>
    </row>
    <row r="157" customFormat="false" ht="15" hidden="false" customHeight="false" outlineLevel="0" collapsed="false">
      <c r="A157" s="4" t="n">
        <v>296</v>
      </c>
      <c r="B157" s="15" t="n">
        <v>46290</v>
      </c>
      <c r="C157" s="4" t="s">
        <v>29</v>
      </c>
      <c r="D157" s="4" t="s">
        <v>124</v>
      </c>
      <c r="E157" s="17" t="s">
        <v>125</v>
      </c>
      <c r="F157" s="11" t="n">
        <v>24</v>
      </c>
      <c r="G157" s="4"/>
      <c r="H157" s="4"/>
      <c r="I157" s="17"/>
      <c r="J157" s="4" t="s">
        <v>71</v>
      </c>
      <c r="K157" s="4"/>
    </row>
    <row r="158" customFormat="false" ht="15" hidden="false" customHeight="false" outlineLevel="0" collapsed="false">
      <c r="A158" s="4" t="n">
        <v>297</v>
      </c>
      <c r="B158" s="15" t="n">
        <v>46290</v>
      </c>
      <c r="C158" s="4" t="s">
        <v>25</v>
      </c>
      <c r="D158" s="4" t="s">
        <v>147</v>
      </c>
      <c r="E158" s="17" t="s">
        <v>148</v>
      </c>
      <c r="F158" s="11" t="n">
        <v>25</v>
      </c>
      <c r="G158" s="4"/>
      <c r="H158" s="4"/>
      <c r="I158" s="17"/>
      <c r="J158" s="4" t="s">
        <v>71</v>
      </c>
      <c r="K158" s="4"/>
    </row>
    <row r="159" customFormat="false" ht="15" hidden="false" customHeight="false" outlineLevel="0" collapsed="false">
      <c r="A159" s="4" t="n">
        <v>298</v>
      </c>
      <c r="B159" s="15" t="n">
        <v>46290</v>
      </c>
      <c r="C159" s="4" t="s">
        <v>24</v>
      </c>
      <c r="D159" s="4" t="s">
        <v>126</v>
      </c>
      <c r="E159" s="17" t="s">
        <v>127</v>
      </c>
      <c r="F159" s="11" t="n">
        <v>17</v>
      </c>
      <c r="G159" s="4"/>
      <c r="H159" s="4"/>
      <c r="I159" s="17"/>
      <c r="J159" s="4" t="s">
        <v>71</v>
      </c>
      <c r="K159" s="4"/>
    </row>
    <row r="160" customFormat="false" ht="15" hidden="false" customHeight="false" outlineLevel="0" collapsed="false">
      <c r="A160" s="4" t="n">
        <v>299</v>
      </c>
      <c r="B160" s="15" t="n">
        <v>46290</v>
      </c>
      <c r="C160" s="4" t="s">
        <v>26</v>
      </c>
      <c r="D160" s="4" t="s">
        <v>140</v>
      </c>
      <c r="E160" s="17" t="s">
        <v>141</v>
      </c>
      <c r="F160" s="11" t="n">
        <v>57</v>
      </c>
      <c r="G160" s="4"/>
      <c r="H160" s="4"/>
      <c r="I160" s="17"/>
      <c r="J160" s="4" t="s">
        <v>71</v>
      </c>
      <c r="K160" s="4" t="s">
        <v>140</v>
      </c>
    </row>
    <row r="161" customFormat="false" ht="15" hidden="false" customHeight="false" outlineLevel="0" collapsed="false">
      <c r="A161" s="4" t="n">
        <v>300</v>
      </c>
      <c r="B161" s="15" t="n">
        <v>46290</v>
      </c>
      <c r="C161" s="4" t="s">
        <v>26</v>
      </c>
      <c r="D161" s="4" t="s">
        <v>142</v>
      </c>
      <c r="E161" s="17" t="s">
        <v>143</v>
      </c>
      <c r="F161" s="11" t="n">
        <v>34</v>
      </c>
      <c r="G161" s="4"/>
      <c r="H161" s="4"/>
      <c r="I161" s="17"/>
      <c r="J161" s="4" t="s">
        <v>71</v>
      </c>
      <c r="K161" s="4"/>
    </row>
    <row r="162" customFormat="false" ht="15" hidden="false" customHeight="false" outlineLevel="0" collapsed="false">
      <c r="A162" s="4" t="n">
        <v>301</v>
      </c>
      <c r="B162" s="15" t="n">
        <v>46291</v>
      </c>
      <c r="C162" s="4" t="s">
        <v>26</v>
      </c>
      <c r="D162" s="4" t="s">
        <v>104</v>
      </c>
      <c r="E162" s="17" t="s">
        <v>105</v>
      </c>
      <c r="F162" s="11" t="n">
        <v>174</v>
      </c>
      <c r="G162" s="4"/>
      <c r="H162" s="4"/>
      <c r="I162" s="17"/>
      <c r="J162" s="4" t="s">
        <v>71</v>
      </c>
      <c r="K162" s="4" t="s">
        <v>104</v>
      </c>
    </row>
    <row r="163" customFormat="false" ht="15" hidden="false" customHeight="false" outlineLevel="0" collapsed="false">
      <c r="A163" s="4" t="n">
        <v>302</v>
      </c>
      <c r="B163" s="15" t="n">
        <v>46291</v>
      </c>
      <c r="C163" s="4" t="s">
        <v>24</v>
      </c>
      <c r="D163" s="4" t="s">
        <v>132</v>
      </c>
      <c r="E163" s="17" t="s">
        <v>133</v>
      </c>
      <c r="F163" s="11" t="n">
        <v>16</v>
      </c>
      <c r="G163" s="4"/>
      <c r="H163" s="4"/>
      <c r="I163" s="17"/>
      <c r="J163" s="4" t="s">
        <v>71</v>
      </c>
      <c r="K163" s="4"/>
    </row>
    <row r="164" customFormat="false" ht="15" hidden="false" customHeight="false" outlineLevel="0" collapsed="false">
      <c r="A164" s="4" t="n">
        <v>303</v>
      </c>
      <c r="B164" s="15" t="n">
        <v>46291</v>
      </c>
      <c r="C164" s="4" t="s">
        <v>30</v>
      </c>
      <c r="D164" s="4" t="s">
        <v>157</v>
      </c>
      <c r="E164" s="17" t="s">
        <v>158</v>
      </c>
      <c r="F164" s="11" t="n">
        <v>90</v>
      </c>
      <c r="G164" s="4"/>
      <c r="H164" s="4"/>
      <c r="I164" s="17"/>
      <c r="J164" s="4" t="s">
        <v>72</v>
      </c>
      <c r="K164" s="4"/>
    </row>
    <row r="165" customFormat="false" ht="15" hidden="false" customHeight="false" outlineLevel="0" collapsed="false">
      <c r="A165" s="4" t="n">
        <v>304</v>
      </c>
      <c r="B165" s="15" t="n">
        <v>46292</v>
      </c>
      <c r="C165" s="4" t="s">
        <v>24</v>
      </c>
      <c r="D165" s="4" t="s">
        <v>132</v>
      </c>
      <c r="E165" s="17" t="s">
        <v>133</v>
      </c>
      <c r="F165" s="11" t="n">
        <v>7</v>
      </c>
      <c r="G165" s="4"/>
      <c r="H165" s="4"/>
      <c r="I165" s="17"/>
      <c r="J165" s="4" t="s">
        <v>71</v>
      </c>
      <c r="K165" s="4"/>
    </row>
    <row r="166" customFormat="false" ht="15" hidden="false" customHeight="false" outlineLevel="0" collapsed="false">
      <c r="A166" s="4" t="n">
        <v>305</v>
      </c>
      <c r="B166" s="15" t="n">
        <v>46292</v>
      </c>
      <c r="C166" s="4" t="s">
        <v>25</v>
      </c>
      <c r="D166" s="4" t="s">
        <v>117</v>
      </c>
      <c r="E166" s="17" t="s">
        <v>118</v>
      </c>
      <c r="F166" s="11" t="n">
        <v>28</v>
      </c>
      <c r="G166" s="4"/>
      <c r="H166" s="4"/>
      <c r="I166" s="17"/>
      <c r="J166" s="4" t="s">
        <v>71</v>
      </c>
      <c r="K166" s="4"/>
    </row>
    <row r="167" customFormat="false" ht="15" hidden="false" customHeight="false" outlineLevel="0" collapsed="false">
      <c r="A167" s="4" t="n">
        <v>306</v>
      </c>
      <c r="B167" s="15" t="n">
        <v>46292</v>
      </c>
      <c r="C167" s="4" t="s">
        <v>27</v>
      </c>
      <c r="D167" s="4" t="s">
        <v>129</v>
      </c>
      <c r="E167" s="17" t="s">
        <v>130</v>
      </c>
      <c r="F167" s="11" t="n">
        <v>90</v>
      </c>
      <c r="G167" s="4"/>
      <c r="H167" s="4"/>
      <c r="I167" s="17"/>
      <c r="J167" s="4" t="s">
        <v>71</v>
      </c>
      <c r="K167" s="4"/>
    </row>
    <row r="168" customFormat="false" ht="15" hidden="false" customHeight="false" outlineLevel="0" collapsed="false">
      <c r="A168" s="4" t="n">
        <v>307</v>
      </c>
      <c r="B168" s="15" t="n">
        <v>46292</v>
      </c>
      <c r="C168" s="4" t="s">
        <v>26</v>
      </c>
      <c r="D168" s="4" t="s">
        <v>142</v>
      </c>
      <c r="E168" s="17" t="s">
        <v>143</v>
      </c>
      <c r="F168" s="11" t="n">
        <v>55</v>
      </c>
      <c r="G168" s="4"/>
      <c r="H168" s="4"/>
      <c r="I168" s="17"/>
      <c r="J168" s="4" t="s">
        <v>71</v>
      </c>
      <c r="K168" s="4"/>
    </row>
    <row r="169" customFormat="false" ht="15" hidden="false" customHeight="false" outlineLevel="0" collapsed="false">
      <c r="A169" s="4" t="n">
        <v>308</v>
      </c>
      <c r="B169" s="15" t="n">
        <v>46292</v>
      </c>
      <c r="C169" s="4" t="s">
        <v>30</v>
      </c>
      <c r="D169" s="4" t="s">
        <v>157</v>
      </c>
      <c r="E169" s="17" t="s">
        <v>158</v>
      </c>
      <c r="F169" s="11" t="n">
        <v>60</v>
      </c>
      <c r="G169" s="4"/>
      <c r="H169" s="4"/>
      <c r="I169" s="17"/>
      <c r="J169" s="4" t="s">
        <v>72</v>
      </c>
      <c r="K169" s="4"/>
    </row>
    <row r="170" customFormat="false" ht="15" hidden="false" customHeight="false" outlineLevel="0" collapsed="false">
      <c r="A170" s="4" t="n">
        <v>309</v>
      </c>
      <c r="B170" s="15" t="n">
        <v>46293</v>
      </c>
      <c r="C170" s="4" t="s">
        <v>28</v>
      </c>
      <c r="D170" s="4" t="s">
        <v>114</v>
      </c>
      <c r="E170" s="17" t="s">
        <v>115</v>
      </c>
      <c r="F170" s="11" t="n">
        <v>25</v>
      </c>
      <c r="G170" s="4"/>
      <c r="H170" s="4"/>
      <c r="I170" s="17"/>
      <c r="J170" s="4" t="s">
        <v>71</v>
      </c>
      <c r="K170" s="4"/>
    </row>
    <row r="171" customFormat="false" ht="15" hidden="false" customHeight="false" outlineLevel="0" collapsed="false">
      <c r="A171" s="4" t="n">
        <v>310</v>
      </c>
      <c r="B171" s="15" t="n">
        <v>46296</v>
      </c>
      <c r="C171" s="4" t="s">
        <v>26</v>
      </c>
      <c r="D171" s="4" t="s">
        <v>104</v>
      </c>
      <c r="E171" s="17" t="s">
        <v>105</v>
      </c>
      <c r="F171" s="11" t="n">
        <v>153</v>
      </c>
      <c r="G171" s="4"/>
      <c r="H171" s="4"/>
      <c r="I171" s="17" t="s">
        <v>139</v>
      </c>
      <c r="J171" s="4" t="s">
        <v>71</v>
      </c>
      <c r="K171" s="4" t="s">
        <v>104</v>
      </c>
    </row>
    <row r="172" customFormat="false" ht="15" hidden="false" customHeight="false" outlineLevel="0" collapsed="false">
      <c r="A172" s="4" t="n">
        <v>311</v>
      </c>
      <c r="B172" s="15" t="n">
        <v>46296</v>
      </c>
      <c r="C172" s="4" t="s">
        <v>24</v>
      </c>
      <c r="D172" s="4" t="s">
        <v>126</v>
      </c>
      <c r="E172" s="17" t="s">
        <v>127</v>
      </c>
      <c r="F172" s="11" t="n">
        <v>16</v>
      </c>
      <c r="G172" s="4"/>
      <c r="H172" s="4"/>
      <c r="I172" s="17"/>
      <c r="J172" s="4" t="s">
        <v>71</v>
      </c>
      <c r="K172" s="4"/>
    </row>
    <row r="173" customFormat="false" ht="15" hidden="false" customHeight="false" outlineLevel="0" collapsed="false">
      <c r="A173" s="4" t="n">
        <v>312</v>
      </c>
      <c r="B173" s="15" t="n">
        <v>46296</v>
      </c>
      <c r="C173" s="4" t="s">
        <v>24</v>
      </c>
      <c r="D173" s="4" t="s">
        <v>132</v>
      </c>
      <c r="E173" s="17" t="s">
        <v>133</v>
      </c>
      <c r="F173" s="11" t="n">
        <v>18</v>
      </c>
      <c r="G173" s="4"/>
      <c r="H173" s="4"/>
      <c r="I173" s="17"/>
      <c r="J173" s="4" t="s">
        <v>71</v>
      </c>
      <c r="K173" s="4"/>
    </row>
    <row r="174" customFormat="false" ht="15" hidden="false" customHeight="false" outlineLevel="0" collapsed="false">
      <c r="A174" s="4" t="n">
        <v>313</v>
      </c>
      <c r="B174" s="15" t="n">
        <v>46296</v>
      </c>
      <c r="C174" s="4" t="s">
        <v>26</v>
      </c>
      <c r="D174" s="4" t="s">
        <v>110</v>
      </c>
      <c r="E174" s="17" t="s">
        <v>111</v>
      </c>
      <c r="F174" s="11" t="n">
        <v>12</v>
      </c>
      <c r="G174" s="4"/>
      <c r="H174" s="4"/>
      <c r="I174" s="17"/>
      <c r="J174" s="4" t="s">
        <v>71</v>
      </c>
      <c r="K174" s="4" t="s">
        <v>110</v>
      </c>
    </row>
    <row r="175" customFormat="false" ht="15" hidden="false" customHeight="false" outlineLevel="0" collapsed="false">
      <c r="A175" s="4" t="n">
        <v>314</v>
      </c>
      <c r="B175" s="15" t="n">
        <v>46297</v>
      </c>
      <c r="C175" s="4" t="s">
        <v>29</v>
      </c>
      <c r="D175" s="4" t="s">
        <v>124</v>
      </c>
      <c r="E175" s="17" t="s">
        <v>125</v>
      </c>
      <c r="F175" s="11" t="n">
        <v>21</v>
      </c>
      <c r="G175" s="4"/>
      <c r="H175" s="4"/>
      <c r="I175" s="17"/>
      <c r="J175" s="4" t="s">
        <v>71</v>
      </c>
      <c r="K175" s="4"/>
    </row>
    <row r="176" customFormat="false" ht="15" hidden="false" customHeight="false" outlineLevel="0" collapsed="false">
      <c r="A176" s="4" t="n">
        <v>315</v>
      </c>
      <c r="B176" s="15" t="n">
        <v>46297</v>
      </c>
      <c r="C176" s="4" t="s">
        <v>24</v>
      </c>
      <c r="D176" s="4" t="s">
        <v>126</v>
      </c>
      <c r="E176" s="17" t="s">
        <v>127</v>
      </c>
      <c r="F176" s="11" t="n">
        <v>21</v>
      </c>
      <c r="G176" s="4"/>
      <c r="H176" s="4"/>
      <c r="I176" s="17"/>
      <c r="J176" s="4" t="s">
        <v>71</v>
      </c>
      <c r="K176" s="4"/>
    </row>
    <row r="177" customFormat="false" ht="15" hidden="false" customHeight="false" outlineLevel="0" collapsed="false">
      <c r="A177" s="4" t="n">
        <v>316</v>
      </c>
      <c r="B177" s="15" t="n">
        <v>46297</v>
      </c>
      <c r="C177" s="4" t="s">
        <v>24</v>
      </c>
      <c r="D177" s="4" t="s">
        <v>132</v>
      </c>
      <c r="E177" s="17" t="s">
        <v>133</v>
      </c>
      <c r="F177" s="11" t="n">
        <v>15</v>
      </c>
      <c r="G177" s="4"/>
      <c r="H177" s="4"/>
      <c r="I177" s="17"/>
      <c r="J177" s="4" t="s">
        <v>71</v>
      </c>
      <c r="K177" s="4"/>
    </row>
    <row r="178" customFormat="false" ht="15" hidden="false" customHeight="false" outlineLevel="0" collapsed="false">
      <c r="A178" s="4" t="n">
        <v>317</v>
      </c>
      <c r="B178" s="15" t="n">
        <v>46297</v>
      </c>
      <c r="C178" s="4" t="s">
        <v>26</v>
      </c>
      <c r="D178" s="4" t="s">
        <v>110</v>
      </c>
      <c r="E178" s="17" t="s">
        <v>111</v>
      </c>
      <c r="F178" s="11" t="n">
        <v>35</v>
      </c>
      <c r="G178" s="4"/>
      <c r="H178" s="4"/>
      <c r="I178" s="17"/>
      <c r="J178" s="4" t="s">
        <v>71</v>
      </c>
      <c r="K178" s="4" t="s">
        <v>110</v>
      </c>
    </row>
    <row r="179" customFormat="false" ht="15" hidden="false" customHeight="false" outlineLevel="0" collapsed="false">
      <c r="A179" s="4" t="n">
        <v>318</v>
      </c>
      <c r="B179" s="15" t="n">
        <v>46297</v>
      </c>
      <c r="C179" s="4" t="s">
        <v>26</v>
      </c>
      <c r="D179" s="4" t="s">
        <v>104</v>
      </c>
      <c r="E179" s="17" t="s">
        <v>105</v>
      </c>
      <c r="F179" s="11" t="n">
        <v>171</v>
      </c>
      <c r="G179" s="4"/>
      <c r="H179" s="4"/>
      <c r="I179" s="17"/>
      <c r="J179" s="4" t="s">
        <v>71</v>
      </c>
      <c r="K179" s="4" t="s">
        <v>104</v>
      </c>
    </row>
    <row r="180" customFormat="false" ht="15" hidden="false" customHeight="false" outlineLevel="0" collapsed="false">
      <c r="A180" s="4" t="n">
        <v>319</v>
      </c>
      <c r="B180" s="15" t="n">
        <v>46298</v>
      </c>
      <c r="C180" s="4" t="s">
        <v>26</v>
      </c>
      <c r="D180" s="4" t="s">
        <v>104</v>
      </c>
      <c r="E180" s="17" t="s">
        <v>105</v>
      </c>
      <c r="F180" s="11" t="n">
        <v>110</v>
      </c>
      <c r="G180" s="4"/>
      <c r="H180" s="4"/>
      <c r="I180" s="17"/>
      <c r="J180" s="4" t="s">
        <v>71</v>
      </c>
      <c r="K180" s="4" t="s">
        <v>104</v>
      </c>
    </row>
    <row r="181" customFormat="false" ht="15" hidden="false" customHeight="false" outlineLevel="0" collapsed="false">
      <c r="A181" s="4" t="n">
        <v>320</v>
      </c>
      <c r="B181" s="15" t="n">
        <v>46298</v>
      </c>
      <c r="C181" s="4" t="s">
        <v>24</v>
      </c>
      <c r="D181" s="4" t="s">
        <v>126</v>
      </c>
      <c r="E181" s="17" t="s">
        <v>127</v>
      </c>
      <c r="F181" s="11" t="n">
        <v>9</v>
      </c>
      <c r="G181" s="4"/>
      <c r="H181" s="4"/>
      <c r="I181" s="17"/>
      <c r="J181" s="4" t="s">
        <v>71</v>
      </c>
      <c r="K181" s="4"/>
    </row>
    <row r="182" customFormat="false" ht="15" hidden="false" customHeight="false" outlineLevel="0" collapsed="false">
      <c r="A182" s="4" t="n">
        <v>321</v>
      </c>
      <c r="B182" s="15" t="n">
        <v>46299</v>
      </c>
      <c r="C182" s="4" t="s">
        <v>26</v>
      </c>
      <c r="D182" s="4" t="s">
        <v>140</v>
      </c>
      <c r="E182" s="17" t="s">
        <v>141</v>
      </c>
      <c r="F182" s="11" t="n">
        <v>61</v>
      </c>
      <c r="G182" s="4"/>
      <c r="H182" s="4"/>
      <c r="I182" s="17"/>
      <c r="J182" s="4" t="s">
        <v>71</v>
      </c>
      <c r="K182" s="4" t="s">
        <v>140</v>
      </c>
    </row>
    <row r="183" customFormat="false" ht="15" hidden="false" customHeight="false" outlineLevel="0" collapsed="false">
      <c r="A183" s="4" t="n">
        <v>322</v>
      </c>
      <c r="B183" s="15" t="n">
        <v>46299</v>
      </c>
      <c r="C183" s="4" t="s">
        <v>27</v>
      </c>
      <c r="D183" s="4" t="s">
        <v>129</v>
      </c>
      <c r="E183" s="17" t="s">
        <v>130</v>
      </c>
      <c r="F183" s="11" t="n">
        <v>36</v>
      </c>
      <c r="G183" s="4"/>
      <c r="H183" s="4"/>
      <c r="I183" s="17"/>
      <c r="J183" s="4" t="s">
        <v>71</v>
      </c>
      <c r="K183" s="4"/>
    </row>
    <row r="184" customFormat="false" ht="15" hidden="false" customHeight="false" outlineLevel="0" collapsed="false">
      <c r="A184" s="4" t="n">
        <v>323</v>
      </c>
      <c r="B184" s="15" t="n">
        <v>46299</v>
      </c>
      <c r="C184" s="4" t="s">
        <v>30</v>
      </c>
      <c r="D184" s="4" t="s">
        <v>157</v>
      </c>
      <c r="E184" s="17" t="s">
        <v>158</v>
      </c>
      <c r="F184" s="11" t="n">
        <v>60</v>
      </c>
      <c r="G184" s="4"/>
      <c r="H184" s="4"/>
      <c r="I184" s="17"/>
      <c r="J184" s="4" t="s">
        <v>72</v>
      </c>
      <c r="K184" s="4"/>
    </row>
    <row r="185" customFormat="false" ht="15" hidden="false" customHeight="false" outlineLevel="0" collapsed="false">
      <c r="A185" s="4" t="n">
        <v>324</v>
      </c>
      <c r="B185" s="15" t="n">
        <v>46300</v>
      </c>
      <c r="C185" s="4" t="s">
        <v>29</v>
      </c>
      <c r="D185" s="4" t="s">
        <v>124</v>
      </c>
      <c r="E185" s="17" t="s">
        <v>125</v>
      </c>
      <c r="F185" s="11" t="n">
        <v>38</v>
      </c>
      <c r="G185" s="4"/>
      <c r="H185" s="4"/>
      <c r="I185" s="17"/>
      <c r="J185" s="4" t="s">
        <v>71</v>
      </c>
      <c r="K185" s="4"/>
    </row>
    <row r="186" customFormat="false" ht="15" hidden="false" customHeight="false" outlineLevel="0" collapsed="false">
      <c r="A186" s="4" t="n">
        <v>325</v>
      </c>
      <c r="B186" s="15" t="n">
        <v>46300</v>
      </c>
      <c r="C186" s="4" t="s">
        <v>26</v>
      </c>
      <c r="D186" s="4" t="s">
        <v>140</v>
      </c>
      <c r="E186" s="17" t="s">
        <v>141</v>
      </c>
      <c r="F186" s="11" t="n">
        <v>42</v>
      </c>
      <c r="G186" s="4"/>
      <c r="H186" s="4"/>
      <c r="I186" s="17" t="s">
        <v>151</v>
      </c>
      <c r="J186" s="4" t="s">
        <v>71</v>
      </c>
      <c r="K186" s="4" t="s">
        <v>140</v>
      </c>
    </row>
    <row r="187" customFormat="false" ht="15" hidden="false" customHeight="false" outlineLevel="0" collapsed="false">
      <c r="A187" s="4" t="n">
        <v>326</v>
      </c>
      <c r="B187" s="15" t="n">
        <v>46301</v>
      </c>
      <c r="C187" s="4" t="s">
        <v>25</v>
      </c>
      <c r="D187" s="4" t="s">
        <v>147</v>
      </c>
      <c r="E187" s="17" t="s">
        <v>148</v>
      </c>
      <c r="F187" s="11" t="n">
        <v>30</v>
      </c>
      <c r="G187" s="4"/>
      <c r="H187" s="4"/>
      <c r="I187" s="17"/>
      <c r="J187" s="4" t="s">
        <v>71</v>
      </c>
      <c r="K187" s="4"/>
    </row>
    <row r="188" customFormat="false" ht="15" hidden="false" customHeight="false" outlineLevel="0" collapsed="false">
      <c r="A188" s="4" t="n">
        <v>327</v>
      </c>
      <c r="B188" s="15" t="n">
        <v>46301</v>
      </c>
      <c r="C188" s="4" t="s">
        <v>26</v>
      </c>
      <c r="D188" s="4" t="s">
        <v>110</v>
      </c>
      <c r="E188" s="17" t="s">
        <v>111</v>
      </c>
      <c r="F188" s="11" t="n">
        <v>29</v>
      </c>
      <c r="G188" s="4"/>
      <c r="H188" s="4"/>
      <c r="I188" s="17"/>
      <c r="J188" s="4" t="s">
        <v>71</v>
      </c>
      <c r="K188" s="4" t="s">
        <v>110</v>
      </c>
    </row>
    <row r="189" customFormat="false" ht="15" hidden="false" customHeight="false" outlineLevel="0" collapsed="false">
      <c r="A189" s="4" t="n">
        <v>328</v>
      </c>
      <c r="B189" s="15" t="n">
        <v>46301</v>
      </c>
      <c r="C189" s="4" t="s">
        <v>28</v>
      </c>
      <c r="D189" s="4" t="s">
        <v>114</v>
      </c>
      <c r="E189" s="17" t="s">
        <v>115</v>
      </c>
      <c r="F189" s="11" t="n">
        <v>29</v>
      </c>
      <c r="G189" s="4"/>
      <c r="H189" s="4"/>
      <c r="I189" s="17"/>
      <c r="J189" s="4" t="s">
        <v>71</v>
      </c>
      <c r="K189" s="4"/>
    </row>
  </sheetData>
  <autoFilter ref="A1:K1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8"/>
    <col collapsed="false" customWidth="true" hidden="false" outlineLevel="0" max="4" min="4" style="0" width="80"/>
  </cols>
  <sheetData>
    <row r="1" customFormat="false" ht="30" hidden="false" customHeight="true" outlineLevel="0" collapsed="false">
      <c r="A1" s="9" t="s">
        <v>46</v>
      </c>
      <c r="B1" s="9" t="s">
        <v>159</v>
      </c>
      <c r="C1" s="9" t="s">
        <v>20</v>
      </c>
      <c r="D1" s="9" t="s">
        <v>160</v>
      </c>
    </row>
    <row r="2" customFormat="false" ht="15" hidden="false" customHeight="false" outlineLevel="0" collapsed="false">
      <c r="A2" s="15" t="n">
        <v>46217</v>
      </c>
      <c r="B2" s="4" t="s">
        <v>161</v>
      </c>
      <c r="C2" s="4" t="s">
        <v>26</v>
      </c>
      <c r="D2" s="17" t="s">
        <v>162</v>
      </c>
    </row>
    <row r="3" customFormat="false" ht="15" hidden="false" customHeight="false" outlineLevel="0" collapsed="false">
      <c r="A3" s="15" t="n">
        <v>46218</v>
      </c>
      <c r="B3" s="4" t="s">
        <v>161</v>
      </c>
      <c r="C3" s="4" t="s">
        <v>26</v>
      </c>
      <c r="D3" s="17" t="s">
        <v>163</v>
      </c>
    </row>
    <row r="4" customFormat="false" ht="15" hidden="false" customHeight="false" outlineLevel="0" collapsed="false">
      <c r="A4" s="15" t="n">
        <v>46219</v>
      </c>
      <c r="B4" s="4" t="s">
        <v>164</v>
      </c>
      <c r="C4" s="4"/>
      <c r="D4" s="17" t="s">
        <v>165</v>
      </c>
    </row>
    <row r="5" customFormat="false" ht="15" hidden="false" customHeight="false" outlineLevel="0" collapsed="false">
      <c r="A5" s="15" t="n">
        <v>46221</v>
      </c>
      <c r="B5" s="4" t="s">
        <v>161</v>
      </c>
      <c r="C5" s="4" t="s">
        <v>26</v>
      </c>
      <c r="D5" s="17" t="s">
        <v>166</v>
      </c>
    </row>
    <row r="6" customFormat="false" ht="15" hidden="false" customHeight="false" outlineLevel="0" collapsed="false">
      <c r="A6" s="15" t="n">
        <v>46223</v>
      </c>
      <c r="B6" s="4" t="s">
        <v>167</v>
      </c>
      <c r="C6" s="4"/>
      <c r="D6" s="17" t="s">
        <v>73</v>
      </c>
    </row>
    <row r="7" customFormat="false" ht="15" hidden="false" customHeight="false" outlineLevel="0" collapsed="false">
      <c r="A7" s="15" t="n">
        <v>46225</v>
      </c>
      <c r="B7" s="4" t="s">
        <v>164</v>
      </c>
      <c r="C7" s="4"/>
      <c r="D7" s="17" t="s">
        <v>165</v>
      </c>
    </row>
    <row r="8" customFormat="false" ht="15" hidden="false" customHeight="false" outlineLevel="0" collapsed="false">
      <c r="A8" s="15" t="n">
        <v>46228</v>
      </c>
      <c r="B8" s="4" t="s">
        <v>164</v>
      </c>
      <c r="C8" s="4"/>
      <c r="D8" s="17" t="s">
        <v>165</v>
      </c>
    </row>
    <row r="9" customFormat="false" ht="15" hidden="false" customHeight="false" outlineLevel="0" collapsed="false">
      <c r="A9" s="15" t="n">
        <v>46229</v>
      </c>
      <c r="B9" s="4" t="s">
        <v>167</v>
      </c>
      <c r="C9" s="4"/>
      <c r="D9" s="17" t="s">
        <v>74</v>
      </c>
    </row>
    <row r="10" customFormat="false" ht="15" hidden="false" customHeight="false" outlineLevel="0" collapsed="false">
      <c r="A10" s="15" t="n">
        <v>46230</v>
      </c>
      <c r="B10" s="4" t="s">
        <v>161</v>
      </c>
      <c r="C10" s="4" t="s">
        <v>26</v>
      </c>
      <c r="D10" s="17" t="s">
        <v>163</v>
      </c>
    </row>
    <row r="11" customFormat="false" ht="15" hidden="false" customHeight="false" outlineLevel="0" collapsed="false">
      <c r="A11" s="15" t="n">
        <v>46231</v>
      </c>
      <c r="B11" s="4" t="s">
        <v>167</v>
      </c>
      <c r="C11" s="4"/>
      <c r="D11" s="17" t="s">
        <v>74</v>
      </c>
    </row>
    <row r="12" customFormat="false" ht="15" hidden="false" customHeight="false" outlineLevel="0" collapsed="false">
      <c r="A12" s="15" t="n">
        <v>46231</v>
      </c>
      <c r="B12" s="4" t="s">
        <v>164</v>
      </c>
      <c r="C12" s="4"/>
      <c r="D12" s="17" t="s">
        <v>165</v>
      </c>
    </row>
    <row r="13" customFormat="false" ht="15" hidden="false" customHeight="false" outlineLevel="0" collapsed="false">
      <c r="A13" s="15" t="n">
        <v>46232</v>
      </c>
      <c r="B13" s="4" t="s">
        <v>161</v>
      </c>
      <c r="C13" s="4" t="s">
        <v>26</v>
      </c>
      <c r="D13" s="17" t="s">
        <v>166</v>
      </c>
    </row>
    <row r="14" customFormat="false" ht="15" hidden="false" customHeight="false" outlineLevel="0" collapsed="false">
      <c r="A14" s="15" t="n">
        <v>46236</v>
      </c>
      <c r="B14" s="4" t="s">
        <v>168</v>
      </c>
      <c r="C14" s="4" t="s">
        <v>24</v>
      </c>
      <c r="D14" s="17" t="s">
        <v>169</v>
      </c>
    </row>
    <row r="15" customFormat="false" ht="15" hidden="false" customHeight="false" outlineLevel="0" collapsed="false">
      <c r="A15" s="15" t="n">
        <v>46238</v>
      </c>
      <c r="B15" s="4" t="s">
        <v>164</v>
      </c>
      <c r="C15" s="4"/>
      <c r="D15" s="17" t="s">
        <v>165</v>
      </c>
    </row>
    <row r="16" customFormat="false" ht="15" hidden="false" customHeight="false" outlineLevel="0" collapsed="false">
      <c r="A16" s="15" t="n">
        <v>46238</v>
      </c>
      <c r="B16" s="4" t="s">
        <v>161</v>
      </c>
      <c r="C16" s="4" t="s">
        <v>26</v>
      </c>
      <c r="D16" s="17" t="s">
        <v>163</v>
      </c>
    </row>
    <row r="17" customFormat="false" ht="15" hidden="false" customHeight="false" outlineLevel="0" collapsed="false">
      <c r="A17" s="15" t="n">
        <v>46239</v>
      </c>
      <c r="B17" s="4" t="s">
        <v>167</v>
      </c>
      <c r="C17" s="4"/>
      <c r="D17" s="17" t="s">
        <v>75</v>
      </c>
    </row>
    <row r="18" customFormat="false" ht="15" hidden="false" customHeight="false" outlineLevel="0" collapsed="false">
      <c r="A18" s="15" t="n">
        <v>46239</v>
      </c>
      <c r="B18" s="4" t="s">
        <v>164</v>
      </c>
      <c r="C18" s="4"/>
      <c r="D18" s="17" t="s">
        <v>165</v>
      </c>
    </row>
    <row r="19" customFormat="false" ht="15" hidden="false" customHeight="false" outlineLevel="0" collapsed="false">
      <c r="A19" s="15" t="n">
        <v>46240</v>
      </c>
      <c r="B19" s="4" t="s">
        <v>164</v>
      </c>
      <c r="C19" s="4"/>
      <c r="D19" s="17" t="s">
        <v>165</v>
      </c>
    </row>
    <row r="20" customFormat="false" ht="15" hidden="false" customHeight="false" outlineLevel="0" collapsed="false">
      <c r="A20" s="15" t="n">
        <v>46241</v>
      </c>
      <c r="B20" s="4" t="s">
        <v>164</v>
      </c>
      <c r="C20" s="4"/>
      <c r="D20" s="17" t="s">
        <v>165</v>
      </c>
    </row>
    <row r="21" customFormat="false" ht="15" hidden="false" customHeight="false" outlineLevel="0" collapsed="false">
      <c r="A21" s="15" t="n">
        <v>46243</v>
      </c>
      <c r="B21" s="4" t="s">
        <v>161</v>
      </c>
      <c r="C21" s="4" t="s">
        <v>26</v>
      </c>
      <c r="D21" s="17" t="s">
        <v>163</v>
      </c>
    </row>
    <row r="22" customFormat="false" ht="15" hidden="false" customHeight="false" outlineLevel="0" collapsed="false">
      <c r="A22" s="15" t="n">
        <v>46246</v>
      </c>
      <c r="B22" s="4" t="s">
        <v>164</v>
      </c>
      <c r="C22" s="4"/>
      <c r="D22" s="17" t="s">
        <v>165</v>
      </c>
    </row>
    <row r="23" customFormat="false" ht="15" hidden="false" customHeight="false" outlineLevel="0" collapsed="false">
      <c r="A23" s="15" t="n">
        <v>46247</v>
      </c>
      <c r="B23" s="4" t="s">
        <v>168</v>
      </c>
      <c r="C23" s="4" t="s">
        <v>24</v>
      </c>
      <c r="D23" s="17" t="s">
        <v>170</v>
      </c>
    </row>
    <row r="24" customFormat="false" ht="15" hidden="false" customHeight="false" outlineLevel="0" collapsed="false">
      <c r="A24" s="15" t="n">
        <v>46249</v>
      </c>
      <c r="B24" s="4" t="s">
        <v>161</v>
      </c>
      <c r="C24" s="4" t="s">
        <v>26</v>
      </c>
      <c r="D24" s="17" t="s">
        <v>166</v>
      </c>
    </row>
    <row r="25" customFormat="false" ht="15" hidden="false" customHeight="false" outlineLevel="0" collapsed="false">
      <c r="A25" s="15" t="n">
        <v>46249</v>
      </c>
      <c r="B25" s="4" t="s">
        <v>167</v>
      </c>
      <c r="C25" s="4"/>
      <c r="D25" s="17" t="s">
        <v>73</v>
      </c>
    </row>
    <row r="26" customFormat="false" ht="15" hidden="false" customHeight="false" outlineLevel="0" collapsed="false">
      <c r="A26" s="15" t="n">
        <v>46250</v>
      </c>
      <c r="B26" s="4" t="s">
        <v>164</v>
      </c>
      <c r="C26" s="4"/>
      <c r="D26" s="17" t="s">
        <v>165</v>
      </c>
    </row>
    <row r="27" customFormat="false" ht="15" hidden="false" customHeight="false" outlineLevel="0" collapsed="false">
      <c r="A27" s="15" t="n">
        <v>46252</v>
      </c>
      <c r="B27" s="4" t="s">
        <v>164</v>
      </c>
      <c r="C27" s="4"/>
      <c r="D27" s="17" t="s">
        <v>165</v>
      </c>
    </row>
    <row r="28" customFormat="false" ht="15" hidden="false" customHeight="false" outlineLevel="0" collapsed="false">
      <c r="A28" s="15" t="n">
        <v>46253</v>
      </c>
      <c r="B28" s="4" t="s">
        <v>167</v>
      </c>
      <c r="C28" s="4"/>
      <c r="D28" s="17" t="s">
        <v>76</v>
      </c>
    </row>
    <row r="29" customFormat="false" ht="15" hidden="false" customHeight="false" outlineLevel="0" collapsed="false">
      <c r="A29" s="15" t="n">
        <v>46254</v>
      </c>
      <c r="B29" s="4" t="s">
        <v>167</v>
      </c>
      <c r="C29" s="4"/>
      <c r="D29" s="17" t="s">
        <v>77</v>
      </c>
    </row>
    <row r="30" customFormat="false" ht="15" hidden="false" customHeight="false" outlineLevel="0" collapsed="false">
      <c r="A30" s="15" t="n">
        <v>46255</v>
      </c>
      <c r="B30" s="4" t="s">
        <v>161</v>
      </c>
      <c r="C30" s="4" t="s">
        <v>26</v>
      </c>
      <c r="D30" s="17" t="s">
        <v>166</v>
      </c>
    </row>
    <row r="31" customFormat="false" ht="15" hidden="false" customHeight="false" outlineLevel="0" collapsed="false">
      <c r="A31" s="15" t="n">
        <v>46256</v>
      </c>
      <c r="B31" s="4" t="s">
        <v>168</v>
      </c>
      <c r="C31" s="4" t="s">
        <v>24</v>
      </c>
      <c r="D31" s="17" t="s">
        <v>169</v>
      </c>
    </row>
    <row r="32" customFormat="false" ht="15" hidden="false" customHeight="false" outlineLevel="0" collapsed="false">
      <c r="A32" s="15" t="n">
        <v>46257</v>
      </c>
      <c r="B32" s="4" t="s">
        <v>164</v>
      </c>
      <c r="C32" s="4"/>
      <c r="D32" s="17" t="s">
        <v>165</v>
      </c>
    </row>
    <row r="33" customFormat="false" ht="15" hidden="false" customHeight="false" outlineLevel="0" collapsed="false">
      <c r="A33" s="15" t="n">
        <v>46258</v>
      </c>
      <c r="B33" s="4" t="s">
        <v>161</v>
      </c>
      <c r="C33" s="4" t="s">
        <v>26</v>
      </c>
      <c r="D33" s="17" t="s">
        <v>166</v>
      </c>
    </row>
    <row r="34" customFormat="false" ht="15" hidden="false" customHeight="false" outlineLevel="0" collapsed="false">
      <c r="A34" s="15" t="n">
        <v>46258</v>
      </c>
      <c r="B34" s="4" t="s">
        <v>168</v>
      </c>
      <c r="C34" s="4" t="s">
        <v>24</v>
      </c>
      <c r="D34" s="17" t="s">
        <v>170</v>
      </c>
    </row>
    <row r="35" customFormat="false" ht="15" hidden="false" customHeight="false" outlineLevel="0" collapsed="false">
      <c r="A35" s="15" t="n">
        <v>46259</v>
      </c>
      <c r="B35" s="4" t="s">
        <v>161</v>
      </c>
      <c r="C35" s="4" t="s">
        <v>26</v>
      </c>
      <c r="D35" s="17" t="s">
        <v>163</v>
      </c>
    </row>
    <row r="36" customFormat="false" ht="15" hidden="false" customHeight="false" outlineLevel="0" collapsed="false">
      <c r="A36" s="15" t="n">
        <v>46260</v>
      </c>
      <c r="B36" s="4" t="s">
        <v>164</v>
      </c>
      <c r="C36" s="4"/>
      <c r="D36" s="17" t="s">
        <v>165</v>
      </c>
    </row>
    <row r="37" customFormat="false" ht="15" hidden="false" customHeight="false" outlineLevel="0" collapsed="false">
      <c r="A37" s="15" t="n">
        <v>46264</v>
      </c>
      <c r="B37" s="4" t="s">
        <v>161</v>
      </c>
      <c r="C37" s="4" t="s">
        <v>26</v>
      </c>
      <c r="D37" s="17" t="s">
        <v>162</v>
      </c>
    </row>
    <row r="38" customFormat="false" ht="15" hidden="false" customHeight="false" outlineLevel="0" collapsed="false">
      <c r="A38" s="15" t="n">
        <v>46265</v>
      </c>
      <c r="B38" s="4" t="s">
        <v>164</v>
      </c>
      <c r="C38" s="4"/>
      <c r="D38" s="17" t="s">
        <v>165</v>
      </c>
    </row>
    <row r="39" customFormat="false" ht="15" hidden="false" customHeight="false" outlineLevel="0" collapsed="false">
      <c r="A39" s="15" t="n">
        <v>46268</v>
      </c>
      <c r="B39" s="4" t="s">
        <v>164</v>
      </c>
      <c r="C39" s="4"/>
      <c r="D39" s="17" t="s">
        <v>165</v>
      </c>
    </row>
    <row r="40" customFormat="false" ht="15" hidden="false" customHeight="false" outlineLevel="0" collapsed="false">
      <c r="A40" s="15" t="n">
        <v>46269</v>
      </c>
      <c r="B40" s="4" t="s">
        <v>161</v>
      </c>
      <c r="C40" s="4" t="s">
        <v>26</v>
      </c>
      <c r="D40" s="17" t="s">
        <v>162</v>
      </c>
    </row>
    <row r="41" customFormat="false" ht="15" hidden="false" customHeight="false" outlineLevel="0" collapsed="false">
      <c r="A41" s="15" t="n">
        <v>46271</v>
      </c>
      <c r="B41" s="4" t="s">
        <v>161</v>
      </c>
      <c r="C41" s="4" t="s">
        <v>26</v>
      </c>
      <c r="D41" s="17" t="s">
        <v>171</v>
      </c>
    </row>
    <row r="42" customFormat="false" ht="15" hidden="false" customHeight="false" outlineLevel="0" collapsed="false">
      <c r="A42" s="15" t="n">
        <v>46272</v>
      </c>
      <c r="B42" s="4" t="s">
        <v>161</v>
      </c>
      <c r="C42" s="4" t="s">
        <v>26</v>
      </c>
      <c r="D42" s="17" t="s">
        <v>166</v>
      </c>
    </row>
    <row r="43" customFormat="false" ht="15" hidden="false" customHeight="false" outlineLevel="0" collapsed="false">
      <c r="A43" s="15" t="n">
        <v>46279</v>
      </c>
      <c r="B43" s="4" t="s">
        <v>161</v>
      </c>
      <c r="C43" s="4" t="s">
        <v>26</v>
      </c>
      <c r="D43" s="17" t="s">
        <v>166</v>
      </c>
    </row>
    <row r="44" customFormat="false" ht="15" hidden="false" customHeight="false" outlineLevel="0" collapsed="false">
      <c r="A44" s="15" t="n">
        <v>46280</v>
      </c>
      <c r="B44" s="4" t="s">
        <v>161</v>
      </c>
      <c r="C44" s="4" t="s">
        <v>26</v>
      </c>
      <c r="D44" s="17" t="s">
        <v>166</v>
      </c>
    </row>
    <row r="45" customFormat="false" ht="15" hidden="false" customHeight="false" outlineLevel="0" collapsed="false">
      <c r="A45" s="15" t="n">
        <v>46284</v>
      </c>
      <c r="B45" s="4" t="s">
        <v>161</v>
      </c>
      <c r="C45" s="4" t="s">
        <v>26</v>
      </c>
      <c r="D45" s="17" t="s">
        <v>163</v>
      </c>
    </row>
    <row r="46" customFormat="false" ht="15" hidden="false" customHeight="false" outlineLevel="0" collapsed="false">
      <c r="A46" s="15" t="n">
        <v>46286</v>
      </c>
      <c r="B46" s="4" t="s">
        <v>167</v>
      </c>
      <c r="C46" s="4"/>
      <c r="D46" s="17" t="s">
        <v>73</v>
      </c>
    </row>
    <row r="47" customFormat="false" ht="15" hidden="false" customHeight="false" outlineLevel="0" collapsed="false">
      <c r="A47" s="15" t="n">
        <v>46287</v>
      </c>
      <c r="B47" s="4" t="s">
        <v>167</v>
      </c>
      <c r="C47" s="4"/>
      <c r="D47" s="17" t="s">
        <v>73</v>
      </c>
    </row>
    <row r="48" customFormat="false" ht="15" hidden="false" customHeight="false" outlineLevel="0" collapsed="false">
      <c r="A48" s="15" t="n">
        <v>46289</v>
      </c>
      <c r="B48" s="4" t="s">
        <v>161</v>
      </c>
      <c r="C48" s="4" t="s">
        <v>26</v>
      </c>
      <c r="D48" s="17" t="s">
        <v>172</v>
      </c>
    </row>
    <row r="49" customFormat="false" ht="15" hidden="false" customHeight="false" outlineLevel="0" collapsed="false">
      <c r="A49" s="15" t="n">
        <v>46289</v>
      </c>
      <c r="B49" s="4" t="s">
        <v>164</v>
      </c>
      <c r="C49" s="4"/>
      <c r="D49" s="17" t="s">
        <v>165</v>
      </c>
    </row>
    <row r="50" customFormat="false" ht="15" hidden="false" customHeight="false" outlineLevel="0" collapsed="false">
      <c r="A50" s="15" t="n">
        <v>46290</v>
      </c>
      <c r="B50" s="4" t="s">
        <v>168</v>
      </c>
      <c r="C50" s="4" t="s">
        <v>24</v>
      </c>
      <c r="D50" s="17" t="s">
        <v>169</v>
      </c>
    </row>
    <row r="51" customFormat="false" ht="15" hidden="false" customHeight="false" outlineLevel="0" collapsed="false">
      <c r="A51" s="15" t="n">
        <v>46291</v>
      </c>
      <c r="B51" s="4" t="s">
        <v>168</v>
      </c>
      <c r="C51" s="4" t="s">
        <v>24</v>
      </c>
      <c r="D51" s="17" t="s">
        <v>170</v>
      </c>
    </row>
    <row r="52" customFormat="false" ht="15" hidden="false" customHeight="false" outlineLevel="0" collapsed="false">
      <c r="A52" s="15" t="n">
        <v>46293</v>
      </c>
      <c r="B52" s="4" t="s">
        <v>164</v>
      </c>
      <c r="C52" s="4"/>
      <c r="D52" s="17" t="s">
        <v>165</v>
      </c>
    </row>
    <row r="53" customFormat="false" ht="15" hidden="false" customHeight="false" outlineLevel="0" collapsed="false">
      <c r="A53" s="15" t="n">
        <v>46294</v>
      </c>
      <c r="B53" s="4" t="s">
        <v>164</v>
      </c>
      <c r="C53" s="4"/>
      <c r="D53" s="17" t="s">
        <v>165</v>
      </c>
    </row>
    <row r="54" customFormat="false" ht="15" hidden="false" customHeight="false" outlineLevel="0" collapsed="false">
      <c r="A54" s="15" t="n">
        <v>46297</v>
      </c>
      <c r="B54" s="4" t="s">
        <v>161</v>
      </c>
      <c r="C54" s="4" t="s">
        <v>26</v>
      </c>
      <c r="D54" s="17" t="s">
        <v>171</v>
      </c>
    </row>
    <row r="55" customFormat="false" ht="15" hidden="false" customHeight="false" outlineLevel="0" collapsed="false">
      <c r="A55" s="15" t="n">
        <v>46298</v>
      </c>
      <c r="B55" s="4" t="s">
        <v>161</v>
      </c>
      <c r="C55" s="4" t="s">
        <v>26</v>
      </c>
      <c r="D55" s="17" t="s">
        <v>171</v>
      </c>
    </row>
    <row r="56" customFormat="false" ht="15" hidden="false" customHeight="false" outlineLevel="0" collapsed="false">
      <c r="A56" s="15" t="n">
        <v>46299</v>
      </c>
      <c r="B56" s="4" t="s">
        <v>161</v>
      </c>
      <c r="C56" s="4" t="s">
        <v>26</v>
      </c>
      <c r="D56" s="17" t="s">
        <v>166</v>
      </c>
    </row>
    <row r="57" customFormat="false" ht="15" hidden="false" customHeight="false" outlineLevel="0" collapsed="false">
      <c r="A57" s="15" t="n">
        <v>46301</v>
      </c>
      <c r="B57" s="4" t="s">
        <v>167</v>
      </c>
      <c r="C57" s="4"/>
      <c r="D57" s="17" t="s">
        <v>77</v>
      </c>
    </row>
  </sheetData>
  <autoFilter ref="A1:D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5" min="3" style="0" width="13"/>
    <col collapsed="false" customWidth="true" hidden="false" outlineLevel="0" max="6" min="6" style="0" width="11"/>
    <col collapsed="false" customWidth="true" hidden="false" outlineLevel="0" max="7" min="7" style="0" width="26"/>
  </cols>
  <sheetData>
    <row r="1" customFormat="false" ht="19.7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" t="s">
        <v>174</v>
      </c>
    </row>
    <row r="4" customFormat="false" ht="30" hidden="false" customHeight="true" outlineLevel="0" collapsed="false">
      <c r="A4" s="9" t="s">
        <v>93</v>
      </c>
      <c r="B4" s="9" t="s">
        <v>175</v>
      </c>
      <c r="C4" s="9" t="s">
        <v>176</v>
      </c>
      <c r="D4" s="9" t="s">
        <v>177</v>
      </c>
      <c r="E4" s="9" t="s">
        <v>178</v>
      </c>
      <c r="F4" s="9" t="s">
        <v>179</v>
      </c>
      <c r="G4" s="9" t="s">
        <v>180</v>
      </c>
    </row>
    <row r="5" customFormat="false" ht="15" hidden="false" customHeight="false" outlineLevel="0" collapsed="false">
      <c r="A5" s="4" t="s">
        <v>142</v>
      </c>
      <c r="B5" s="11" t="n">
        <f aca="false">COUNTIFS(Intentions!$D$2:$D$344,$A5,Intentions!$G$2:$G$344,"&gt;0",Intentions!$I$2:$I$344,"&gt;0")</f>
        <v>10</v>
      </c>
      <c r="C5" s="10" t="n">
        <f aca="false">IFERROR(AVERAGEIFS(Intentions!$G$2:$G$344,Intentions!$D$2:$D$344,$A5,Intentions!$G$2:$G$344,"&gt;0",Intentions!$I$2:$I$344,"&gt;0"),"")</f>
        <v>45</v>
      </c>
      <c r="D5" s="10" t="n">
        <f aca="false">IFERROR(AVERAGEIFS(Intentions!$I$2:$I$344,Intentions!$D$2:$D$344,$A5,Intentions!$G$2:$G$344,"&gt;0",Intentions!$I$2:$I$344,"&gt;0"),"")</f>
        <v>56.2</v>
      </c>
      <c r="E5" s="10" t="n">
        <f aca="false">IFERROR(D5-C5,"")</f>
        <v>11.2</v>
      </c>
      <c r="F5" s="18" t="n">
        <f aca="false">IFERROR(D5/C5,"")</f>
        <v>1.24888888888889</v>
      </c>
      <c r="G5" s="4" t="str">
        <f aca="false">IF(B5&lt;3,"Pas assez de données",IF(F5&gt;1.1,"Sous estimation",IF(F5&lt;0.9,"Surestimation","Estimation juste")))</f>
        <v>Sous estimation</v>
      </c>
    </row>
    <row r="6" customFormat="false" ht="15" hidden="false" customHeight="false" outlineLevel="0" collapsed="false">
      <c r="A6" s="4" t="s">
        <v>135</v>
      </c>
      <c r="B6" s="11" t="n">
        <f aca="false">COUNTIFS(Intentions!$D$2:$D$344,$A6,Intentions!$G$2:$G$344,"&gt;0",Intentions!$I$2:$I$344,"&gt;0")</f>
        <v>6</v>
      </c>
      <c r="C6" s="10" t="n">
        <f aca="false">IFERROR(AVERAGEIFS(Intentions!$G$2:$G$344,Intentions!$D$2:$D$344,$A6,Intentions!$G$2:$G$344,"&gt;0",Intentions!$I$2:$I$344,"&gt;0"),"")</f>
        <v>45</v>
      </c>
      <c r="D6" s="10" t="n">
        <f aca="false">IFERROR(AVERAGEIFS(Intentions!$I$2:$I$344,Intentions!$D$2:$D$344,$A6,Intentions!$G$2:$G$344,"&gt;0",Intentions!$I$2:$I$344,"&gt;0"),"")</f>
        <v>65.5</v>
      </c>
      <c r="E6" s="10" t="n">
        <f aca="false">IFERROR(D6-C6,"")</f>
        <v>20.5</v>
      </c>
      <c r="F6" s="18" t="n">
        <f aca="false">IFERROR(D6/C6,"")</f>
        <v>1.45555555555556</v>
      </c>
      <c r="G6" s="4" t="str">
        <f aca="false">IF(B6&lt;3,"Pas assez de données",IF(F6&gt;1.1,"Sous estimation",IF(F6&lt;0.9,"Surestimation","Estimation juste")))</f>
        <v>Sous estimation</v>
      </c>
    </row>
    <row r="7" customFormat="false" ht="15" hidden="false" customHeight="false" outlineLevel="0" collapsed="false">
      <c r="A7" s="4" t="s">
        <v>124</v>
      </c>
      <c r="B7" s="11" t="n">
        <f aca="false">COUNTIFS(Intentions!$D$2:$D$344,$A7,Intentions!$G$2:$G$344,"&gt;0",Intentions!$I$2:$I$344,"&gt;0")</f>
        <v>19</v>
      </c>
      <c r="C7" s="10" t="n">
        <f aca="false">IFERROR(AVERAGEIFS(Intentions!$G$2:$G$344,Intentions!$D$2:$D$344,$A7,Intentions!$G$2:$G$344,"&gt;0",Intentions!$I$2:$I$344,"&gt;0"),"")</f>
        <v>20</v>
      </c>
      <c r="D7" s="10" t="n">
        <f aca="false">IFERROR(AVERAGEIFS(Intentions!$I$2:$I$344,Intentions!$D$2:$D$344,$A7,Intentions!$G$2:$G$344,"&gt;0",Intentions!$I$2:$I$344,"&gt;0"),"")</f>
        <v>23.0526315789474</v>
      </c>
      <c r="E7" s="10" t="n">
        <f aca="false">IFERROR(D7-C7,"")</f>
        <v>3.05263157894737</v>
      </c>
      <c r="F7" s="18" t="n">
        <f aca="false">IFERROR(D7/C7,"")</f>
        <v>1.15263157894737</v>
      </c>
      <c r="G7" s="4" t="str">
        <f aca="false">IF(B7&lt;3,"Pas assez de données",IF(F7&gt;1.1,"Sous estimation",IF(F7&lt;0.9,"Surestimation","Estimation juste")))</f>
        <v>Sous estimation</v>
      </c>
    </row>
    <row r="8" customFormat="false" ht="15" hidden="false" customHeight="false" outlineLevel="0" collapsed="false">
      <c r="A8" s="4" t="s">
        <v>114</v>
      </c>
      <c r="B8" s="11" t="n">
        <f aca="false">COUNTIFS(Intentions!$D$2:$D$344,$A8,Intentions!$G$2:$G$344,"&gt;0",Intentions!$I$2:$I$344,"&gt;0")</f>
        <v>9</v>
      </c>
      <c r="C8" s="10" t="n">
        <f aca="false">IFERROR(AVERAGEIFS(Intentions!$G$2:$G$344,Intentions!$D$2:$D$344,$A8,Intentions!$G$2:$G$344,"&gt;0",Intentions!$I$2:$I$344,"&gt;0"),"")</f>
        <v>30</v>
      </c>
      <c r="D8" s="10" t="n">
        <f aca="false">IFERROR(AVERAGEIFS(Intentions!$I$2:$I$344,Intentions!$D$2:$D$344,$A8,Intentions!$G$2:$G$344,"&gt;0",Intentions!$I$2:$I$344,"&gt;0"),"")</f>
        <v>23.1111111111111</v>
      </c>
      <c r="E8" s="10" t="n">
        <f aca="false">IFERROR(D8-C8,"")</f>
        <v>-6.88888888888889</v>
      </c>
      <c r="F8" s="18" t="n">
        <f aca="false">IFERROR(D8/C8,"")</f>
        <v>0.77037037037037</v>
      </c>
      <c r="G8" s="4" t="str">
        <f aca="false">IF(B8&lt;3,"Pas assez de données",IF(F8&gt;1.1,"Sous estimation",IF(F8&lt;0.9,"Surestimation","Estimation juste")))</f>
        <v>Surestimation</v>
      </c>
    </row>
    <row r="9" customFormat="false" ht="15" hidden="false" customHeight="false" outlineLevel="0" collapsed="false">
      <c r="A9" s="4" t="s">
        <v>126</v>
      </c>
      <c r="B9" s="11" t="n">
        <f aca="false">COUNTIFS(Intentions!$D$2:$D$344,$A9,Intentions!$G$2:$G$344,"&gt;0",Intentions!$I$2:$I$344,"&gt;0")</f>
        <v>21</v>
      </c>
      <c r="C9" s="10" t="n">
        <f aca="false">IFERROR(AVERAGEIFS(Intentions!$G$2:$G$344,Intentions!$D$2:$D$344,$A9,Intentions!$G$2:$G$344,"&gt;0",Intentions!$I$2:$I$344,"&gt;0"),"")</f>
        <v>20</v>
      </c>
      <c r="D9" s="10" t="n">
        <f aca="false">IFERROR(AVERAGEIFS(Intentions!$I$2:$I$344,Intentions!$D$2:$D$344,$A9,Intentions!$G$2:$G$344,"&gt;0",Intentions!$I$2:$I$344,"&gt;0"),"")</f>
        <v>19.952380952381</v>
      </c>
      <c r="E9" s="10" t="n">
        <f aca="false">IFERROR(D9-C9,"")</f>
        <v>-0.0476190476190475</v>
      </c>
      <c r="F9" s="18" t="n">
        <f aca="false">IFERROR(D9/C9,"")</f>
        <v>0.997619047619048</v>
      </c>
      <c r="G9" s="4" t="str">
        <f aca="false">IF(B9&lt;3,"Pas assez de données",IF(F9&gt;1.1,"Sous estimation",IF(F9&lt;0.9,"Surestimation","Estimation juste")))</f>
        <v>Estimation juste</v>
      </c>
    </row>
    <row r="10" customFormat="false" ht="15" hidden="false" customHeight="false" outlineLevel="0" collapsed="false">
      <c r="A10" s="4" t="s">
        <v>110</v>
      </c>
      <c r="B10" s="11" t="n">
        <f aca="false">COUNTIFS(Intentions!$D$2:$D$344,$A10,Intentions!$G$2:$G$344,"&gt;0",Intentions!$I$2:$I$344,"&gt;0")</f>
        <v>27</v>
      </c>
      <c r="C10" s="10" t="n">
        <f aca="false">IFERROR(AVERAGEIFS(Intentions!$G$2:$G$344,Intentions!$D$2:$D$344,$A10,Intentions!$G$2:$G$344,"&gt;0",Intentions!$I$2:$I$344,"&gt;0"),"")</f>
        <v>60</v>
      </c>
      <c r="D10" s="10" t="n">
        <f aca="false">IFERROR(AVERAGEIFS(Intentions!$I$2:$I$344,Intentions!$D$2:$D$344,$A10,Intentions!$G$2:$G$344,"&gt;0",Intentions!$I$2:$I$344,"&gt;0"),"")</f>
        <v>63.0740740740741</v>
      </c>
      <c r="E10" s="10" t="n">
        <f aca="false">IFERROR(D10-C10,"")</f>
        <v>3.07407407407408</v>
      </c>
      <c r="F10" s="18" t="n">
        <f aca="false">IFERROR(D10/C10,"")</f>
        <v>1.05123456790123</v>
      </c>
      <c r="G10" s="4" t="str">
        <f aca="false">IF(B10&lt;3,"Pas assez de données",IF(F10&gt;1.1,"Sous estimation",IF(F10&lt;0.9,"Surestimation","Estimation juste")))</f>
        <v>Estimation juste</v>
      </c>
    </row>
    <row r="11" customFormat="false" ht="15" hidden="false" customHeight="false" outlineLevel="0" collapsed="false">
      <c r="A11" s="4" t="s">
        <v>117</v>
      </c>
      <c r="B11" s="11" t="n">
        <f aca="false">COUNTIFS(Intentions!$D$2:$D$344,$A11,Intentions!$G$2:$G$344,"&gt;0",Intentions!$I$2:$I$344,"&gt;0")</f>
        <v>9</v>
      </c>
      <c r="C11" s="10" t="n">
        <f aca="false">IFERROR(AVERAGEIFS(Intentions!$G$2:$G$344,Intentions!$D$2:$D$344,$A11,Intentions!$G$2:$G$344,"&gt;0",Intentions!$I$2:$I$344,"&gt;0"),"")</f>
        <v>40</v>
      </c>
      <c r="D11" s="10" t="n">
        <f aca="false">IFERROR(AVERAGEIFS(Intentions!$I$2:$I$344,Intentions!$D$2:$D$344,$A11,Intentions!$G$2:$G$344,"&gt;0",Intentions!$I$2:$I$344,"&gt;0"),"")</f>
        <v>26.6666666666667</v>
      </c>
      <c r="E11" s="10" t="n">
        <f aca="false">IFERROR(D11-C11,"")</f>
        <v>-13.3333333333333</v>
      </c>
      <c r="F11" s="18" t="n">
        <f aca="false">IFERROR(D11/C11,"")</f>
        <v>0.666666666666667</v>
      </c>
      <c r="G11" s="4" t="str">
        <f aca="false">IF(B11&lt;3,"Pas assez de données",IF(F11&gt;1.1,"Sous estimation",IF(F11&lt;0.9,"Surestimation","Estimation juste")))</f>
        <v>Surestimation</v>
      </c>
    </row>
    <row r="12" customFormat="false" ht="15" hidden="false" customHeight="false" outlineLevel="0" collapsed="false">
      <c r="A12" s="4" t="s">
        <v>120</v>
      </c>
      <c r="B12" s="11" t="n">
        <f aca="false">COUNTIFS(Intentions!$D$2:$D$344,$A12,Intentions!$G$2:$G$344,"&gt;0",Intentions!$I$2:$I$344,"&gt;0")</f>
        <v>8</v>
      </c>
      <c r="C12" s="10" t="n">
        <f aca="false">IFERROR(AVERAGEIFS(Intentions!$G$2:$G$344,Intentions!$D$2:$D$344,$A12,Intentions!$G$2:$G$344,"&gt;0",Intentions!$I$2:$I$344,"&gt;0"),"")</f>
        <v>30</v>
      </c>
      <c r="D12" s="10" t="n">
        <f aca="false">IFERROR(AVERAGEIFS(Intentions!$I$2:$I$344,Intentions!$D$2:$D$344,$A12,Intentions!$G$2:$G$344,"&gt;0",Intentions!$I$2:$I$344,"&gt;0"),"")</f>
        <v>28.875</v>
      </c>
      <c r="E12" s="10" t="n">
        <f aca="false">IFERROR(D12-C12,"")</f>
        <v>-1.125</v>
      </c>
      <c r="F12" s="18" t="n">
        <f aca="false">IFERROR(D12/C12,"")</f>
        <v>0.9625</v>
      </c>
      <c r="G12" s="4" t="str">
        <f aca="false">IF(B12&lt;3,"Pas assez de données",IF(F12&gt;1.1,"Sous estimation",IF(F12&lt;0.9,"Surestimation","Estimation juste")))</f>
        <v>Estimation juste</v>
      </c>
    </row>
    <row r="13" customFormat="false" ht="15" hidden="false" customHeight="false" outlineLevel="0" collapsed="false">
      <c r="A13" s="4" t="s">
        <v>129</v>
      </c>
      <c r="B13" s="11" t="n">
        <f aca="false">COUNTIFS(Intentions!$D$2:$D$344,$A13,Intentions!$G$2:$G$344,"&gt;0",Intentions!$I$2:$I$344,"&gt;0")</f>
        <v>10</v>
      </c>
      <c r="C13" s="10" t="n">
        <f aca="false">IFERROR(AVERAGEIFS(Intentions!$G$2:$G$344,Intentions!$D$2:$D$344,$A13,Intentions!$G$2:$G$344,"&gt;0",Intentions!$I$2:$I$344,"&gt;0"),"")</f>
        <v>60</v>
      </c>
      <c r="D13" s="10" t="n">
        <f aca="false">IFERROR(AVERAGEIFS(Intentions!$I$2:$I$344,Intentions!$D$2:$D$344,$A13,Intentions!$G$2:$G$344,"&gt;0",Intentions!$I$2:$I$344,"&gt;0"),"")</f>
        <v>75</v>
      </c>
      <c r="E13" s="10" t="n">
        <f aca="false">IFERROR(D13-C13,"")</f>
        <v>15</v>
      </c>
      <c r="F13" s="18" t="n">
        <f aca="false">IFERROR(D13/C13,"")</f>
        <v>1.25</v>
      </c>
      <c r="G13" s="4" t="str">
        <f aca="false">IF(B13&lt;3,"Pas assez de données",IF(F13&gt;1.1,"Sous estimation",IF(F13&lt;0.9,"Surestimation","Estimation juste")))</f>
        <v>Sous estimation</v>
      </c>
    </row>
    <row r="14" customFormat="false" ht="15" hidden="false" customHeight="false" outlineLevel="0" collapsed="false">
      <c r="A14" s="4" t="s">
        <v>132</v>
      </c>
      <c r="B14" s="11" t="n">
        <f aca="false">COUNTIFS(Intentions!$D$2:$D$344,$A14,Intentions!$G$2:$G$344,"&gt;0",Intentions!$I$2:$I$344,"&gt;0")</f>
        <v>19</v>
      </c>
      <c r="C14" s="10" t="n">
        <f aca="false">IFERROR(AVERAGEIFS(Intentions!$G$2:$G$344,Intentions!$D$2:$D$344,$A14,Intentions!$G$2:$G$344,"&gt;0",Intentions!$I$2:$I$344,"&gt;0"),"")</f>
        <v>15</v>
      </c>
      <c r="D14" s="10" t="n">
        <f aca="false">IFERROR(AVERAGEIFS(Intentions!$I$2:$I$344,Intentions!$D$2:$D$344,$A14,Intentions!$G$2:$G$344,"&gt;0",Intentions!$I$2:$I$344,"&gt;0"),"")</f>
        <v>16.421052631579</v>
      </c>
      <c r="E14" s="10" t="n">
        <f aca="false">IFERROR(D14-C14,"")</f>
        <v>1.42105263157895</v>
      </c>
      <c r="F14" s="18" t="n">
        <f aca="false">IFERROR(D14/C14,"")</f>
        <v>1.09473684210526</v>
      </c>
      <c r="G14" s="4" t="str">
        <f aca="false">IF(B14&lt;3,"Pas assez de données",IF(F14&gt;1.1,"Sous estimation",IF(F14&lt;0.9,"Surestimation","Estimation juste")))</f>
        <v>Estimation juste</v>
      </c>
    </row>
    <row r="15" customFormat="false" ht="15" hidden="false" customHeight="false" outlineLevel="0" collapsed="false">
      <c r="A15" s="4" t="s">
        <v>104</v>
      </c>
      <c r="B15" s="11" t="n">
        <f aca="false">COUNTIFS(Intentions!$D$2:$D$344,$A15,Intentions!$G$2:$G$344,"&gt;0",Intentions!$I$2:$I$344,"&gt;0")</f>
        <v>7</v>
      </c>
      <c r="C15" s="10" t="n">
        <f aca="false">IFERROR(AVERAGEIFS(Intentions!$G$2:$G$344,Intentions!$D$2:$D$344,$A15,Intentions!$G$2:$G$344,"&gt;0",Intentions!$I$2:$I$344,"&gt;0"),"")</f>
        <v>120</v>
      </c>
      <c r="D15" s="10" t="n">
        <f aca="false">IFERROR(AVERAGEIFS(Intentions!$I$2:$I$344,Intentions!$D$2:$D$344,$A15,Intentions!$G$2:$G$344,"&gt;0",Intentions!$I$2:$I$344,"&gt;0"),"")</f>
        <v>161.428571428571</v>
      </c>
      <c r="E15" s="10" t="n">
        <f aca="false">IFERROR(D15-C15,"")</f>
        <v>41.4285714285714</v>
      </c>
      <c r="F15" s="18" t="n">
        <f aca="false">IFERROR(D15/C15,"")</f>
        <v>1.3452380952381</v>
      </c>
      <c r="G15" s="4" t="str">
        <f aca="false">IF(B15&lt;3,"Pas assez de données",IF(F15&gt;1.1,"Sous estimation",IF(F15&lt;0.9,"Surestimation","Estimation juste")))</f>
        <v>Sous estimation</v>
      </c>
    </row>
    <row r="16" customFormat="false" ht="15" hidden="false" customHeight="false" outlineLevel="0" collapsed="false">
      <c r="A16" s="4" t="s">
        <v>147</v>
      </c>
      <c r="B16" s="11" t="n">
        <f aca="false">COUNTIFS(Intentions!$D$2:$D$344,$A16,Intentions!$G$2:$G$344,"&gt;0",Intentions!$I$2:$I$344,"&gt;0")</f>
        <v>8</v>
      </c>
      <c r="C16" s="10" t="n">
        <f aca="false">IFERROR(AVERAGEIFS(Intentions!$G$2:$G$344,Intentions!$D$2:$D$344,$A16,Intentions!$G$2:$G$344,"&gt;0",Intentions!$I$2:$I$344,"&gt;0"),"")</f>
        <v>30</v>
      </c>
      <c r="D16" s="10" t="n">
        <f aca="false">IFERROR(AVERAGEIFS(Intentions!$I$2:$I$344,Intentions!$D$2:$D$344,$A16,Intentions!$G$2:$G$344,"&gt;0",Intentions!$I$2:$I$344,"&gt;0"),"")</f>
        <v>26.5</v>
      </c>
      <c r="E16" s="10" t="n">
        <f aca="false">IFERROR(D16-C16,"")</f>
        <v>-3.5</v>
      </c>
      <c r="F16" s="18" t="n">
        <f aca="false">IFERROR(D16/C16,"")</f>
        <v>0.883333333333333</v>
      </c>
      <c r="G16" s="4" t="str">
        <f aca="false">IF(B16&lt;3,"Pas assez de données",IF(F16&gt;1.1,"Sous estimation",IF(F16&lt;0.9,"Surestimation","Estimation juste")))</f>
        <v>Surestimation</v>
      </c>
    </row>
    <row r="17" customFormat="false" ht="15" hidden="false" customHeight="false" outlineLevel="0" collapsed="false">
      <c r="A17" s="4" t="s">
        <v>140</v>
      </c>
      <c r="B17" s="11" t="n">
        <f aca="false">COUNTIFS(Intentions!$D$2:$D$344,$A17,Intentions!$G$2:$G$344,"&gt;0",Intentions!$I$2:$I$344,"&gt;0")</f>
        <v>9</v>
      </c>
      <c r="C17" s="10" t="n">
        <f aca="false">IFERROR(AVERAGEIFS(Intentions!$G$2:$G$344,Intentions!$D$2:$D$344,$A17,Intentions!$G$2:$G$344,"&gt;0",Intentions!$I$2:$I$344,"&gt;0"),"")</f>
        <v>60</v>
      </c>
      <c r="D17" s="10" t="n">
        <f aca="false">IFERROR(AVERAGEIFS(Intentions!$I$2:$I$344,Intentions!$D$2:$D$344,$A17,Intentions!$G$2:$G$344,"&gt;0",Intentions!$I$2:$I$344,"&gt;0"),"")</f>
        <v>66.2222222222222</v>
      </c>
      <c r="E17" s="10" t="n">
        <f aca="false">IFERROR(D17-C17,"")</f>
        <v>6.22222222222223</v>
      </c>
      <c r="F17" s="18" t="n">
        <f aca="false">IFERROR(D17/C17,"")</f>
        <v>1.1037037037037</v>
      </c>
      <c r="G17" s="4" t="str">
        <f aca="false">IF(B17&lt;3,"Pas assez de données",IF(F17&gt;1.1,"Sous estimation",IF(F17&lt;0.9,"Surestimation","Estimation juste")))</f>
        <v>Sous estimation</v>
      </c>
    </row>
    <row r="19" customFormat="false" ht="15" hidden="false" customHeight="false" outlineLevel="0" collapsed="false">
      <c r="A19" s="2" t="s">
        <v>181</v>
      </c>
    </row>
  </sheetData>
  <autoFilter ref="A4:G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4" customFormat="false" ht="30" hidden="false" customHeight="true" outlineLevel="0" collapsed="false">
      <c r="A4" s="9" t="s">
        <v>93</v>
      </c>
      <c r="B4" s="9" t="s">
        <v>49</v>
      </c>
      <c r="C4" s="9" t="s">
        <v>184</v>
      </c>
      <c r="D4" s="9" t="s">
        <v>185</v>
      </c>
      <c r="E4" s="9" t="s">
        <v>186</v>
      </c>
      <c r="F4" s="9" t="s">
        <v>187</v>
      </c>
    </row>
    <row r="5" customFormat="false" ht="15" hidden="false" customHeight="false" outlineLevel="0" collapsed="false">
      <c r="A5" s="4" t="s">
        <v>142</v>
      </c>
      <c r="B5" s="11" t="n">
        <f aca="false">COUNTIFS(Intentions!$D$2:$D$344,$A5,Intentions!$H$2:$H$344,"&lt;&gt;Prévu")</f>
        <v>25</v>
      </c>
      <c r="C5" s="11" t="n">
        <f aca="false">COUNTIFS(Intentions!$D$2:$D$344,$A5,Intentions!$H$2:$H$344,"Non réalisé")</f>
        <v>8</v>
      </c>
      <c r="D5" s="11" t="n">
        <f aca="false">COUNTIFS(Intentions!$D$2:$D$344,$A5,Intentions!$H$2:$H$344,"Abandonné")</f>
        <v>4</v>
      </c>
      <c r="E5" s="11" t="n">
        <f aca="false">COUNTIFS(Intentions!$D$2:$D$344,$A5,Intentions!$H$2:$H$344,"Reporté")</f>
        <v>3</v>
      </c>
      <c r="F5" s="12" t="n">
        <f aca="false">IF(B5=0,"",(C5+D5)/B5)</f>
        <v>0.48</v>
      </c>
    </row>
    <row r="6" customFormat="false" ht="15" hidden="false" customHeight="false" outlineLevel="0" collapsed="false">
      <c r="A6" s="4" t="s">
        <v>135</v>
      </c>
      <c r="B6" s="11" t="n">
        <f aca="false">COUNTIFS(Intentions!$D$2:$D$344,$A6,Intentions!$H$2:$H$344,"&lt;&gt;Prévu")</f>
        <v>22</v>
      </c>
      <c r="C6" s="11" t="n">
        <f aca="false">COUNTIFS(Intentions!$D$2:$D$344,$A6,Intentions!$H$2:$H$344,"Non réalisé")</f>
        <v>5</v>
      </c>
      <c r="D6" s="11" t="n">
        <f aca="false">COUNTIFS(Intentions!$D$2:$D$344,$A6,Intentions!$H$2:$H$344,"Abandonné")</f>
        <v>4</v>
      </c>
      <c r="E6" s="11" t="n">
        <f aca="false">COUNTIFS(Intentions!$D$2:$D$344,$A6,Intentions!$H$2:$H$344,"Reporté")</f>
        <v>7</v>
      </c>
      <c r="F6" s="12" t="n">
        <f aca="false">IF(B6=0,"",(C6+D6)/B6)</f>
        <v>0.409090909090909</v>
      </c>
    </row>
    <row r="7" customFormat="false" ht="15" hidden="false" customHeight="false" outlineLevel="0" collapsed="false">
      <c r="A7" s="4" t="s">
        <v>124</v>
      </c>
      <c r="B7" s="11" t="n">
        <f aca="false">COUNTIFS(Intentions!$D$2:$D$344,$A7,Intentions!$H$2:$H$344,"&lt;&gt;Prévu")</f>
        <v>27</v>
      </c>
      <c r="C7" s="11" t="n">
        <f aca="false">COUNTIFS(Intentions!$D$2:$D$344,$A7,Intentions!$H$2:$H$344,"Non réalisé")</f>
        <v>4</v>
      </c>
      <c r="D7" s="11" t="n">
        <f aca="false">COUNTIFS(Intentions!$D$2:$D$344,$A7,Intentions!$H$2:$H$344,"Abandonné")</f>
        <v>3</v>
      </c>
      <c r="E7" s="11" t="n">
        <f aca="false">COUNTIFS(Intentions!$D$2:$D$344,$A7,Intentions!$H$2:$H$344,"Reporté")</f>
        <v>1</v>
      </c>
      <c r="F7" s="12" t="n">
        <f aca="false">IF(B7=0,"",(C7+D7)/B7)</f>
        <v>0.259259259259259</v>
      </c>
    </row>
    <row r="8" customFormat="false" ht="15" hidden="false" customHeight="false" outlineLevel="0" collapsed="false">
      <c r="A8" s="4" t="s">
        <v>114</v>
      </c>
      <c r="B8" s="11" t="n">
        <f aca="false">COUNTIFS(Intentions!$D$2:$D$344,$A8,Intentions!$H$2:$H$344,"&lt;&gt;Prévu")</f>
        <v>24</v>
      </c>
      <c r="C8" s="11" t="n">
        <f aca="false">COUNTIFS(Intentions!$D$2:$D$344,$A8,Intentions!$H$2:$H$344,"Non réalisé")</f>
        <v>7</v>
      </c>
      <c r="D8" s="11" t="n">
        <f aca="false">COUNTIFS(Intentions!$D$2:$D$344,$A8,Intentions!$H$2:$H$344,"Abandonné")</f>
        <v>1</v>
      </c>
      <c r="E8" s="11" t="n">
        <f aca="false">COUNTIFS(Intentions!$D$2:$D$344,$A8,Intentions!$H$2:$H$344,"Reporté")</f>
        <v>7</v>
      </c>
      <c r="F8" s="12" t="n">
        <f aca="false">IF(B8=0,"",(C8+D8)/B8)</f>
        <v>0.333333333333333</v>
      </c>
    </row>
    <row r="9" customFormat="false" ht="15" hidden="false" customHeight="false" outlineLevel="0" collapsed="false">
      <c r="A9" s="4" t="s">
        <v>126</v>
      </c>
      <c r="B9" s="11" t="n">
        <f aca="false">COUNTIFS(Intentions!$D$2:$D$344,$A9,Intentions!$H$2:$H$344,"&lt;&gt;Prévu")</f>
        <v>26</v>
      </c>
      <c r="C9" s="11" t="n">
        <f aca="false">COUNTIFS(Intentions!$D$2:$D$344,$A9,Intentions!$H$2:$H$344,"Non réalisé")</f>
        <v>3</v>
      </c>
      <c r="D9" s="11" t="n">
        <f aca="false">COUNTIFS(Intentions!$D$2:$D$344,$A9,Intentions!$H$2:$H$344,"Abandonné")</f>
        <v>2</v>
      </c>
      <c r="E9" s="11" t="n">
        <f aca="false">COUNTIFS(Intentions!$D$2:$D$344,$A9,Intentions!$H$2:$H$344,"Reporté")</f>
        <v>0</v>
      </c>
      <c r="F9" s="12" t="n">
        <f aca="false">IF(B9=0,"",(C9+D9)/B9)</f>
        <v>0.192307692307692</v>
      </c>
    </row>
    <row r="10" customFormat="false" ht="15" hidden="false" customHeight="false" outlineLevel="0" collapsed="false">
      <c r="A10" s="4" t="s">
        <v>110</v>
      </c>
      <c r="B10" s="11" t="n">
        <f aca="false">COUNTIFS(Intentions!$D$2:$D$344,$A10,Intentions!$H$2:$H$344,"&lt;&gt;Prévu")</f>
        <v>62</v>
      </c>
      <c r="C10" s="11" t="n">
        <f aca="false">COUNTIFS(Intentions!$D$2:$D$344,$A10,Intentions!$H$2:$H$344,"Non réalisé")</f>
        <v>22</v>
      </c>
      <c r="D10" s="11" t="n">
        <f aca="false">COUNTIFS(Intentions!$D$2:$D$344,$A10,Intentions!$H$2:$H$344,"Abandonné")</f>
        <v>6</v>
      </c>
      <c r="E10" s="11" t="n">
        <f aca="false">COUNTIFS(Intentions!$D$2:$D$344,$A10,Intentions!$H$2:$H$344,"Reporté")</f>
        <v>7</v>
      </c>
      <c r="F10" s="12" t="n">
        <f aca="false">IF(B10=0,"",(C10+D10)/B10)</f>
        <v>0.451612903225806</v>
      </c>
    </row>
    <row r="11" customFormat="false" ht="15" hidden="false" customHeight="false" outlineLevel="0" collapsed="false">
      <c r="A11" s="4" t="s">
        <v>117</v>
      </c>
      <c r="B11" s="11" t="n">
        <f aca="false">COUNTIFS(Intentions!$D$2:$D$344,$A11,Intentions!$H$2:$H$344,"&lt;&gt;Prévu")</f>
        <v>23</v>
      </c>
      <c r="C11" s="11" t="n">
        <f aca="false">COUNTIFS(Intentions!$D$2:$D$344,$A11,Intentions!$H$2:$H$344,"Non réalisé")</f>
        <v>10</v>
      </c>
      <c r="D11" s="11" t="n">
        <f aca="false">COUNTIFS(Intentions!$D$2:$D$344,$A11,Intentions!$H$2:$H$344,"Abandonné")</f>
        <v>2</v>
      </c>
      <c r="E11" s="11" t="n">
        <f aca="false">COUNTIFS(Intentions!$D$2:$D$344,$A11,Intentions!$H$2:$H$344,"Reporté")</f>
        <v>2</v>
      </c>
      <c r="F11" s="12" t="n">
        <f aca="false">IF(B11=0,"",(C11+D11)/B11)</f>
        <v>0.521739130434783</v>
      </c>
    </row>
    <row r="12" customFormat="false" ht="15" hidden="false" customHeight="false" outlineLevel="0" collapsed="false">
      <c r="A12" s="4" t="s">
        <v>120</v>
      </c>
      <c r="B12" s="11" t="n">
        <f aca="false">COUNTIFS(Intentions!$D$2:$D$344,$A12,Intentions!$H$2:$H$344,"&lt;&gt;Prévu")</f>
        <v>22</v>
      </c>
      <c r="C12" s="11" t="n">
        <f aca="false">COUNTIFS(Intentions!$D$2:$D$344,$A12,Intentions!$H$2:$H$344,"Non réalisé")</f>
        <v>6</v>
      </c>
      <c r="D12" s="11" t="n">
        <f aca="false">COUNTIFS(Intentions!$D$2:$D$344,$A12,Intentions!$H$2:$H$344,"Abandonné")</f>
        <v>5</v>
      </c>
      <c r="E12" s="11" t="n">
        <f aca="false">COUNTIFS(Intentions!$D$2:$D$344,$A12,Intentions!$H$2:$H$344,"Reporté")</f>
        <v>3</v>
      </c>
      <c r="F12" s="12" t="n">
        <f aca="false">IF(B12=0,"",(C12+D12)/B12)</f>
        <v>0.5</v>
      </c>
    </row>
    <row r="13" customFormat="false" ht="15" hidden="false" customHeight="false" outlineLevel="0" collapsed="false">
      <c r="A13" s="4" t="s">
        <v>129</v>
      </c>
      <c r="B13" s="11" t="n">
        <f aca="false">COUNTIFS(Intentions!$D$2:$D$344,$A13,Intentions!$H$2:$H$344,"&lt;&gt;Prévu")</f>
        <v>22</v>
      </c>
      <c r="C13" s="11" t="n">
        <f aca="false">COUNTIFS(Intentions!$D$2:$D$344,$A13,Intentions!$H$2:$H$344,"Non réalisé")</f>
        <v>6</v>
      </c>
      <c r="D13" s="11" t="n">
        <f aca="false">COUNTIFS(Intentions!$D$2:$D$344,$A13,Intentions!$H$2:$H$344,"Abandonné")</f>
        <v>3</v>
      </c>
      <c r="E13" s="11" t="n">
        <f aca="false">COUNTIFS(Intentions!$D$2:$D$344,$A13,Intentions!$H$2:$H$344,"Reporté")</f>
        <v>3</v>
      </c>
      <c r="F13" s="12" t="n">
        <f aca="false">IF(B13=0,"",(C13+D13)/B13)</f>
        <v>0.409090909090909</v>
      </c>
    </row>
    <row r="14" customFormat="false" ht="15" hidden="false" customHeight="false" outlineLevel="0" collapsed="false">
      <c r="A14" s="4" t="s">
        <v>132</v>
      </c>
      <c r="B14" s="11" t="n">
        <f aca="false">COUNTIFS(Intentions!$D$2:$D$344,$A14,Intentions!$H$2:$H$344,"&lt;&gt;Prévu")</f>
        <v>28</v>
      </c>
      <c r="C14" s="11" t="n">
        <f aca="false">COUNTIFS(Intentions!$D$2:$D$344,$A14,Intentions!$H$2:$H$344,"Non réalisé")</f>
        <v>4</v>
      </c>
      <c r="D14" s="11" t="n">
        <f aca="false">COUNTIFS(Intentions!$D$2:$D$344,$A14,Intentions!$H$2:$H$344,"Abandonné")</f>
        <v>2</v>
      </c>
      <c r="E14" s="11" t="n">
        <f aca="false">COUNTIFS(Intentions!$D$2:$D$344,$A14,Intentions!$H$2:$H$344,"Reporté")</f>
        <v>3</v>
      </c>
      <c r="F14" s="12" t="n">
        <f aca="false">IF(B14=0,"",(C14+D14)/B14)</f>
        <v>0.214285714285714</v>
      </c>
    </row>
    <row r="15" customFormat="false" ht="15" hidden="false" customHeight="false" outlineLevel="0" collapsed="false">
      <c r="A15" s="4" t="s">
        <v>104</v>
      </c>
      <c r="B15" s="11" t="n">
        <f aca="false">COUNTIFS(Intentions!$D$2:$D$344,$A15,Intentions!$H$2:$H$344,"&lt;&gt;Prévu")</f>
        <v>19</v>
      </c>
      <c r="C15" s="11" t="n">
        <f aca="false">COUNTIFS(Intentions!$D$2:$D$344,$A15,Intentions!$H$2:$H$344,"Non réalisé")</f>
        <v>3</v>
      </c>
      <c r="D15" s="11" t="n">
        <f aca="false">COUNTIFS(Intentions!$D$2:$D$344,$A15,Intentions!$H$2:$H$344,"Abandonné")</f>
        <v>5</v>
      </c>
      <c r="E15" s="11" t="n">
        <f aca="false">COUNTIFS(Intentions!$D$2:$D$344,$A15,Intentions!$H$2:$H$344,"Reporté")</f>
        <v>4</v>
      </c>
      <c r="F15" s="12" t="n">
        <f aca="false">IF(B15=0,"",(C15+D15)/B15)</f>
        <v>0.421052631578947</v>
      </c>
    </row>
    <row r="16" customFormat="false" ht="15" hidden="false" customHeight="false" outlineLevel="0" collapsed="false">
      <c r="A16" s="4" t="s">
        <v>147</v>
      </c>
      <c r="B16" s="11" t="n">
        <f aca="false">COUNTIFS(Intentions!$D$2:$D$344,$A16,Intentions!$H$2:$H$344,"&lt;&gt;Prévu")</f>
        <v>23</v>
      </c>
      <c r="C16" s="11" t="n">
        <f aca="false">COUNTIFS(Intentions!$D$2:$D$344,$A16,Intentions!$H$2:$H$344,"Non réalisé")</f>
        <v>8</v>
      </c>
      <c r="D16" s="11" t="n">
        <f aca="false">COUNTIFS(Intentions!$D$2:$D$344,$A16,Intentions!$H$2:$H$344,"Abandonné")</f>
        <v>4</v>
      </c>
      <c r="E16" s="11" t="n">
        <f aca="false">COUNTIFS(Intentions!$D$2:$D$344,$A16,Intentions!$H$2:$H$344,"Reporté")</f>
        <v>3</v>
      </c>
      <c r="F16" s="12" t="n">
        <f aca="false">IF(B16=0,"",(C16+D16)/B16)</f>
        <v>0.521739130434783</v>
      </c>
    </row>
    <row r="17" customFormat="false" ht="15" hidden="false" customHeight="false" outlineLevel="0" collapsed="false">
      <c r="A17" s="4" t="s">
        <v>140</v>
      </c>
      <c r="B17" s="11" t="n">
        <f aca="false">COUNTIFS(Intentions!$D$2:$D$344,$A17,Intentions!$H$2:$H$344,"&lt;&gt;Prévu")</f>
        <v>20</v>
      </c>
      <c r="C17" s="11" t="n">
        <f aca="false">COUNTIFS(Intentions!$D$2:$D$344,$A17,Intentions!$H$2:$H$344,"Non réalisé")</f>
        <v>4</v>
      </c>
      <c r="D17" s="11" t="n">
        <f aca="false">COUNTIFS(Intentions!$D$2:$D$344,$A17,Intentions!$H$2:$H$344,"Abandonné")</f>
        <v>3</v>
      </c>
      <c r="E17" s="11" t="n">
        <f aca="false">COUNTIFS(Intentions!$D$2:$D$344,$A17,Intentions!$H$2:$H$344,"Reporté")</f>
        <v>4</v>
      </c>
      <c r="F17" s="12" t="n">
        <f aca="false">IF(B17=0,"",(C17+D17)/B17)</f>
        <v>0.35</v>
      </c>
    </row>
    <row r="19" customFormat="false" ht="15" hidden="false" customHeight="false" outlineLevel="0" collapsed="false">
      <c r="A19" s="3" t="s">
        <v>188</v>
      </c>
    </row>
    <row r="20" customFormat="false" ht="30" hidden="false" customHeight="true" outlineLevel="0" collapsed="false">
      <c r="A20" s="9" t="s">
        <v>189</v>
      </c>
      <c r="B20" s="9" t="s">
        <v>190</v>
      </c>
    </row>
    <row r="21" customFormat="false" ht="15" hidden="false" customHeight="false" outlineLevel="0" collapsed="false">
      <c r="A21" s="4" t="s">
        <v>116</v>
      </c>
      <c r="B21" s="11" t="n">
        <f aca="false">COUNTIFS(Intentions!$M$2:$M$344,$A21)</f>
        <v>66</v>
      </c>
    </row>
    <row r="22" customFormat="false" ht="15" hidden="false" customHeight="false" outlineLevel="0" collapsed="false">
      <c r="A22" s="4" t="s">
        <v>152</v>
      </c>
      <c r="B22" s="11" t="n">
        <f aca="false">COUNTIFS(Intentions!$M$2:$M$344,$A22)</f>
        <v>19</v>
      </c>
    </row>
    <row r="23" customFormat="false" ht="15" hidden="false" customHeight="false" outlineLevel="0" collapsed="false">
      <c r="A23" s="4" t="s">
        <v>131</v>
      </c>
      <c r="B23" s="11" t="n">
        <f aca="false">COUNTIFS(Intentions!$M$2:$M$344,$A23)</f>
        <v>13</v>
      </c>
    </row>
    <row r="24" customFormat="false" ht="15" hidden="false" customHeight="false" outlineLevel="0" collapsed="false">
      <c r="A24" s="4" t="s">
        <v>146</v>
      </c>
      <c r="B24" s="11" t="n">
        <f aca="false">COUNTIFS(Intentions!$M$2:$M$344,$A24)</f>
        <v>27</v>
      </c>
    </row>
    <row r="25" customFormat="false" ht="15" hidden="false" customHeight="false" outlineLevel="0" collapsed="false">
      <c r="A25" s="4" t="s">
        <v>108</v>
      </c>
      <c r="B25" s="11" t="n">
        <f aca="false">COUNTIFS(Intentions!$M$2:$M$344,$A25)</f>
        <v>17</v>
      </c>
    </row>
    <row r="26" customFormat="false" ht="15" hidden="false" customHeight="false" outlineLevel="0" collapsed="false">
      <c r="A26" s="4" t="s">
        <v>150</v>
      </c>
      <c r="B26" s="11" t="n">
        <f aca="false">COUNTIFS(Intentions!$M$2:$M$344,$A26)</f>
        <v>22</v>
      </c>
    </row>
    <row r="27" customFormat="false" ht="15" hidden="false" customHeight="false" outlineLevel="0" collapsed="false">
      <c r="A27" s="4" t="s">
        <v>137</v>
      </c>
      <c r="B27" s="11" t="n">
        <f aca="false">COUNTIFS(Intentions!$M$2:$M$344,$A27)</f>
        <v>17</v>
      </c>
    </row>
  </sheetData>
  <autoFilter ref="A4:F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32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9.7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30" hidden="false" customHeight="true" outlineLevel="0" collapsed="false">
      <c r="A4" s="9" t="s">
        <v>193</v>
      </c>
      <c r="B4" s="9" t="s">
        <v>194</v>
      </c>
      <c r="C4" s="9" t="s">
        <v>20</v>
      </c>
      <c r="D4" s="9" t="s">
        <v>97</v>
      </c>
      <c r="E4" s="9" t="s">
        <v>195</v>
      </c>
      <c r="F4" s="9" t="s">
        <v>196</v>
      </c>
      <c r="G4" s="9" t="s">
        <v>197</v>
      </c>
      <c r="H4" s="9" t="s">
        <v>9</v>
      </c>
      <c r="I4" s="9" t="s">
        <v>198</v>
      </c>
      <c r="J4" s="9" t="s">
        <v>199</v>
      </c>
    </row>
    <row r="5" customFormat="false" ht="15" hidden="false" customHeight="false" outlineLevel="0" collapsed="false">
      <c r="A5" s="17" t="s">
        <v>200</v>
      </c>
      <c r="B5" s="4" t="s">
        <v>201</v>
      </c>
      <c r="C5" s="4" t="s">
        <v>27</v>
      </c>
      <c r="D5" s="4" t="s">
        <v>202</v>
      </c>
      <c r="E5" s="17"/>
      <c r="F5" s="15"/>
      <c r="G5" s="11" t="n">
        <v>183</v>
      </c>
      <c r="H5" s="12" t="n">
        <v>0.37</v>
      </c>
      <c r="I5" s="10" t="n">
        <v>102.3</v>
      </c>
      <c r="J5" s="15" t="n">
        <v>46301</v>
      </c>
    </row>
    <row r="6" customFormat="false" ht="23.85" hidden="false" customHeight="false" outlineLevel="0" collapsed="false">
      <c r="A6" s="17" t="s">
        <v>203</v>
      </c>
      <c r="B6" s="4" t="s">
        <v>204</v>
      </c>
      <c r="C6" s="4" t="s">
        <v>26</v>
      </c>
      <c r="D6" s="4" t="s">
        <v>202</v>
      </c>
      <c r="E6" s="17" t="s">
        <v>200</v>
      </c>
      <c r="F6" s="15"/>
      <c r="G6" s="11" t="n">
        <v>148</v>
      </c>
      <c r="H6" s="12" t="n">
        <v>0.39</v>
      </c>
      <c r="I6" s="10" t="n">
        <v>92.5</v>
      </c>
      <c r="J6" s="15" t="n">
        <v>46301</v>
      </c>
    </row>
    <row r="7" customFormat="false" ht="15" hidden="false" customHeight="false" outlineLevel="0" collapsed="false">
      <c r="A7" s="17" t="s">
        <v>109</v>
      </c>
      <c r="B7" s="4" t="s">
        <v>205</v>
      </c>
      <c r="C7" s="4" t="s">
        <v>26</v>
      </c>
      <c r="D7" s="4" t="s">
        <v>202</v>
      </c>
      <c r="E7" s="17" t="s">
        <v>203</v>
      </c>
      <c r="F7" s="15"/>
      <c r="G7" s="11" t="n">
        <v>148</v>
      </c>
      <c r="H7" s="12" t="n">
        <v>0.39</v>
      </c>
      <c r="I7" s="10" t="n">
        <v>92.5</v>
      </c>
      <c r="J7" s="15" t="n">
        <v>46301</v>
      </c>
    </row>
    <row r="8" customFormat="false" ht="15" hidden="false" customHeight="false" outlineLevel="0" collapsed="false">
      <c r="A8" s="17" t="s">
        <v>128</v>
      </c>
      <c r="B8" s="4" t="s">
        <v>205</v>
      </c>
      <c r="C8" s="4" t="s">
        <v>24</v>
      </c>
      <c r="D8" s="4" t="s">
        <v>202</v>
      </c>
      <c r="E8" s="17"/>
      <c r="F8" s="15"/>
      <c r="G8" s="11" t="n">
        <v>42</v>
      </c>
      <c r="H8" s="12" t="n">
        <v>0.73</v>
      </c>
      <c r="I8" s="10" t="n">
        <v>10.6</v>
      </c>
      <c r="J8" s="15" t="n">
        <v>46298</v>
      </c>
    </row>
    <row r="9" customFormat="false" ht="15" hidden="false" customHeight="false" outlineLevel="0" collapsed="false">
      <c r="A9" s="17" t="s">
        <v>149</v>
      </c>
      <c r="B9" s="4" t="s">
        <v>206</v>
      </c>
      <c r="C9" s="4" t="s">
        <v>25</v>
      </c>
      <c r="D9" s="4" t="s">
        <v>202</v>
      </c>
      <c r="E9" s="17"/>
      <c r="F9" s="15"/>
      <c r="G9" s="11" t="n">
        <v>41</v>
      </c>
      <c r="H9" s="12" t="n">
        <v>0.34</v>
      </c>
      <c r="I9" s="10" t="n">
        <v>7.2</v>
      </c>
      <c r="J9" s="15" t="n">
        <v>46301</v>
      </c>
    </row>
    <row r="10" customFormat="false" ht="23.85" hidden="false" customHeight="false" outlineLevel="0" collapsed="false">
      <c r="A10" s="17" t="s">
        <v>138</v>
      </c>
      <c r="B10" s="4" t="s">
        <v>206</v>
      </c>
      <c r="C10" s="4" t="s">
        <v>27</v>
      </c>
      <c r="D10" s="4" t="s">
        <v>202</v>
      </c>
      <c r="E10" s="17" t="s">
        <v>200</v>
      </c>
      <c r="F10" s="15"/>
      <c r="G10" s="11" t="n">
        <v>35</v>
      </c>
      <c r="H10" s="12" t="n">
        <v>0.26</v>
      </c>
      <c r="I10" s="10" t="n">
        <v>9.8</v>
      </c>
      <c r="J10" s="15" t="n">
        <v>46301</v>
      </c>
    </row>
  </sheetData>
  <autoFilter ref="A4:J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4" customFormat="false" ht="30" hidden="false" customHeight="true" outlineLevel="0" collapsed="false">
      <c r="A4" s="9" t="s">
        <v>156</v>
      </c>
      <c r="B4" s="9" t="s">
        <v>209</v>
      </c>
      <c r="C4" s="9" t="s">
        <v>210</v>
      </c>
      <c r="D4" s="9" t="s">
        <v>211</v>
      </c>
      <c r="E4" s="9" t="s">
        <v>212</v>
      </c>
      <c r="F4" s="9" t="s">
        <v>213</v>
      </c>
      <c r="G4" s="9" t="s">
        <v>214</v>
      </c>
      <c r="H4" s="9" t="s">
        <v>215</v>
      </c>
      <c r="I4" s="9" t="s">
        <v>216</v>
      </c>
    </row>
    <row r="5" customFormat="false" ht="15" hidden="false" customHeight="false" outlineLevel="0" collapsed="false">
      <c r="A5" s="4" t="s">
        <v>110</v>
      </c>
      <c r="B5" s="11" t="n">
        <v>5</v>
      </c>
      <c r="C5" s="10" t="n">
        <v>3.1</v>
      </c>
      <c r="D5" s="10" t="n">
        <v>2.4</v>
      </c>
      <c r="E5" s="19" t="n">
        <f aca="false">IF(AND(ISNUMBER(C5),ISNUMBER(D5)),C5-D5,"")</f>
        <v>0.7</v>
      </c>
      <c r="F5" s="10" t="n">
        <f aca="false">SUMIFS(Activites!$F$2:$F$189,Activites!$K$2:$K$189,$A5)/60</f>
        <v>28.3833333333333</v>
      </c>
      <c r="G5" s="11" t="n">
        <f aca="false">COUNTIFS(Activites!$K$2:$K$189,$A5)</f>
        <v>27</v>
      </c>
      <c r="H5" s="11" t="n">
        <f aca="false">COUNTIFS(Activites!$K$2:$K$189,$A5,Activites!$I$2:$I$189,"&lt;&gt;")</f>
        <v>9</v>
      </c>
      <c r="I5" s="11" t="n">
        <f aca="false">COUNTIFS(Evaluations!$A$2:$A$16,$A5)</f>
        <v>5</v>
      </c>
    </row>
    <row r="6" customFormat="false" ht="15" hidden="false" customHeight="false" outlineLevel="0" collapsed="false">
      <c r="A6" s="4" t="s">
        <v>104</v>
      </c>
      <c r="B6" s="11" t="n">
        <v>5</v>
      </c>
      <c r="C6" s="10" t="n">
        <v>2.6</v>
      </c>
      <c r="D6" s="10" t="n">
        <v>2.1</v>
      </c>
      <c r="E6" s="19" t="n">
        <f aca="false">IF(AND(ISNUMBER(C6),ISNUMBER(D6)),C6-D6,"")</f>
        <v>0.5</v>
      </c>
      <c r="F6" s="10" t="n">
        <f aca="false">SUMIFS(Activites!$F$2:$F$189,Activites!$K$2:$K$189,$A6)/60</f>
        <v>18.8333333333333</v>
      </c>
      <c r="G6" s="11" t="n">
        <f aca="false">COUNTIFS(Activites!$K$2:$K$189,$A6)</f>
        <v>7</v>
      </c>
      <c r="H6" s="11" t="n">
        <f aca="false">COUNTIFS(Activites!$K$2:$K$189,$A6,Activites!$I$2:$I$189,"&lt;&gt;")</f>
        <v>4</v>
      </c>
      <c r="I6" s="11" t="n">
        <f aca="false">COUNTIFS(Evaluations!$A$2:$A$16,$A6)</f>
        <v>5</v>
      </c>
    </row>
    <row r="7" customFormat="false" ht="15" hidden="false" customHeight="false" outlineLevel="0" collapsed="false">
      <c r="A7" s="4" t="s">
        <v>140</v>
      </c>
      <c r="B7" s="11" t="n">
        <v>5</v>
      </c>
      <c r="C7" s="10" t="n">
        <v>3.7</v>
      </c>
      <c r="D7" s="10" t="n">
        <v>2.8</v>
      </c>
      <c r="E7" s="19" t="n">
        <f aca="false">IF(AND(ISNUMBER(C7),ISNUMBER(D7)),C7-D7,"")</f>
        <v>0.9</v>
      </c>
      <c r="F7" s="10" t="n">
        <f aca="false">SUMIFS(Activites!$F$2:$F$189,Activites!$K$2:$K$189,$A7)/60</f>
        <v>9.93333333333333</v>
      </c>
      <c r="G7" s="11" t="n">
        <f aca="false">COUNTIFS(Activites!$K$2:$K$189,$A7)</f>
        <v>9</v>
      </c>
      <c r="H7" s="11" t="n">
        <f aca="false">COUNTIFS(Activites!$K$2:$K$189,$A7,Activites!$I$2:$I$189,"&lt;&gt;")</f>
        <v>4</v>
      </c>
      <c r="I7" s="11" t="n">
        <f aca="false">COUNTIFS(Evaluations!$A$2:$A$16,$A7)</f>
        <v>5</v>
      </c>
    </row>
  </sheetData>
  <autoFilter ref="A4:I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30"/>
  </cols>
  <sheetData>
    <row r="1" customFormat="false" ht="30" hidden="false" customHeight="true" outlineLevel="0" collapsed="false">
      <c r="A1" s="9" t="s">
        <v>156</v>
      </c>
      <c r="B1" s="9" t="s">
        <v>46</v>
      </c>
      <c r="C1" s="9" t="s">
        <v>217</v>
      </c>
      <c r="D1" s="9" t="s">
        <v>218</v>
      </c>
      <c r="E1" s="9" t="s">
        <v>219</v>
      </c>
      <c r="F1" s="9" t="s">
        <v>220</v>
      </c>
      <c r="G1" s="9" t="s">
        <v>221</v>
      </c>
    </row>
    <row r="2" customFormat="false" ht="15" hidden="false" customHeight="false" outlineLevel="0" collapsed="false">
      <c r="A2" s="4" t="s">
        <v>110</v>
      </c>
      <c r="B2" s="15" t="n">
        <v>46152</v>
      </c>
      <c r="C2" s="10" t="n">
        <v>2.4</v>
      </c>
      <c r="D2" s="11" t="n">
        <v>45</v>
      </c>
      <c r="E2" s="4" t="s">
        <v>222</v>
      </c>
      <c r="F2" s="17" t="s">
        <v>223</v>
      </c>
      <c r="G2" s="17"/>
    </row>
    <row r="3" customFormat="false" ht="15" hidden="false" customHeight="false" outlineLevel="0" collapsed="false">
      <c r="A3" s="4" t="s">
        <v>110</v>
      </c>
      <c r="B3" s="15" t="n">
        <v>46182</v>
      </c>
      <c r="C3" s="10" t="n">
        <v>2.5</v>
      </c>
      <c r="D3" s="11" t="n">
        <v>51</v>
      </c>
      <c r="E3" s="4" t="s">
        <v>224</v>
      </c>
      <c r="F3" s="17" t="s">
        <v>223</v>
      </c>
      <c r="G3" s="17"/>
    </row>
    <row r="4" customFormat="false" ht="15" hidden="false" customHeight="false" outlineLevel="0" collapsed="false">
      <c r="A4" s="4" t="s">
        <v>110</v>
      </c>
      <c r="B4" s="15" t="n">
        <v>46212</v>
      </c>
      <c r="C4" s="10" t="n">
        <v>2.7</v>
      </c>
      <c r="D4" s="11" t="n">
        <v>57</v>
      </c>
      <c r="E4" s="4" t="s">
        <v>222</v>
      </c>
      <c r="F4" s="17" t="s">
        <v>223</v>
      </c>
      <c r="G4" s="17"/>
    </row>
    <row r="5" customFormat="false" ht="15" hidden="false" customHeight="false" outlineLevel="0" collapsed="false">
      <c r="A5" s="4" t="s">
        <v>110</v>
      </c>
      <c r="B5" s="15" t="n">
        <v>46242</v>
      </c>
      <c r="C5" s="10" t="n">
        <v>3</v>
      </c>
      <c r="D5" s="11" t="n">
        <v>60</v>
      </c>
      <c r="E5" s="4" t="s">
        <v>224</v>
      </c>
      <c r="F5" s="17" t="s">
        <v>223</v>
      </c>
      <c r="G5" s="17"/>
    </row>
    <row r="6" customFormat="false" ht="15" hidden="false" customHeight="false" outlineLevel="0" collapsed="false">
      <c r="A6" s="4" t="s">
        <v>110</v>
      </c>
      <c r="B6" s="15" t="n">
        <v>46272</v>
      </c>
      <c r="C6" s="10" t="n">
        <v>3.1</v>
      </c>
      <c r="D6" s="11" t="n">
        <v>57</v>
      </c>
      <c r="E6" s="4" t="s">
        <v>224</v>
      </c>
      <c r="F6" s="17" t="s">
        <v>223</v>
      </c>
      <c r="G6" s="17"/>
    </row>
    <row r="7" customFormat="false" ht="15" hidden="false" customHeight="false" outlineLevel="0" collapsed="false">
      <c r="A7" s="4" t="s">
        <v>104</v>
      </c>
      <c r="B7" s="15" t="n">
        <v>46152</v>
      </c>
      <c r="C7" s="10" t="n">
        <v>2.1</v>
      </c>
      <c r="D7" s="11" t="n">
        <v>39</v>
      </c>
      <c r="E7" s="4" t="s">
        <v>224</v>
      </c>
      <c r="F7" s="17" t="s">
        <v>225</v>
      </c>
      <c r="G7" s="17"/>
    </row>
    <row r="8" customFormat="false" ht="15" hidden="false" customHeight="false" outlineLevel="0" collapsed="false">
      <c r="A8" s="4" t="s">
        <v>104</v>
      </c>
      <c r="B8" s="15" t="n">
        <v>46182</v>
      </c>
      <c r="C8" s="10" t="n">
        <v>2.1</v>
      </c>
      <c r="D8" s="11" t="n">
        <v>35</v>
      </c>
      <c r="E8" s="4" t="s">
        <v>222</v>
      </c>
      <c r="F8" s="17" t="s">
        <v>225</v>
      </c>
      <c r="G8" s="17"/>
    </row>
    <row r="9" customFormat="false" ht="15" hidden="false" customHeight="false" outlineLevel="0" collapsed="false">
      <c r="A9" s="4" t="s">
        <v>104</v>
      </c>
      <c r="B9" s="15" t="n">
        <v>46212</v>
      </c>
      <c r="C9" s="10" t="n">
        <v>2.2</v>
      </c>
      <c r="D9" s="11" t="n">
        <v>54</v>
      </c>
      <c r="E9" s="4" t="s">
        <v>226</v>
      </c>
      <c r="F9" s="17" t="s">
        <v>225</v>
      </c>
      <c r="G9" s="17"/>
    </row>
    <row r="10" customFormat="false" ht="15" hidden="false" customHeight="false" outlineLevel="0" collapsed="false">
      <c r="A10" s="4" t="s">
        <v>104</v>
      </c>
      <c r="B10" s="15" t="n">
        <v>46242</v>
      </c>
      <c r="C10" s="10" t="n">
        <v>2.4</v>
      </c>
      <c r="D10" s="11" t="n">
        <v>42</v>
      </c>
      <c r="E10" s="4" t="s">
        <v>226</v>
      </c>
      <c r="F10" s="17" t="s">
        <v>225</v>
      </c>
      <c r="G10" s="17"/>
    </row>
    <row r="11" customFormat="false" ht="15" hidden="false" customHeight="false" outlineLevel="0" collapsed="false">
      <c r="A11" s="4" t="s">
        <v>104</v>
      </c>
      <c r="B11" s="15" t="n">
        <v>46272</v>
      </c>
      <c r="C11" s="10" t="n">
        <v>2.6</v>
      </c>
      <c r="D11" s="11" t="n">
        <v>40</v>
      </c>
      <c r="E11" s="4" t="s">
        <v>222</v>
      </c>
      <c r="F11" s="17" t="s">
        <v>225</v>
      </c>
      <c r="G11" s="17"/>
    </row>
    <row r="12" customFormat="false" ht="15" hidden="false" customHeight="false" outlineLevel="0" collapsed="false">
      <c r="A12" s="4" t="s">
        <v>140</v>
      </c>
      <c r="B12" s="15" t="n">
        <v>46152</v>
      </c>
      <c r="C12" s="10" t="n">
        <v>2.8</v>
      </c>
      <c r="D12" s="11" t="n">
        <v>52</v>
      </c>
      <c r="E12" s="4" t="s">
        <v>222</v>
      </c>
      <c r="F12" s="17" t="s">
        <v>227</v>
      </c>
      <c r="G12" s="17"/>
    </row>
    <row r="13" customFormat="false" ht="15" hidden="false" customHeight="false" outlineLevel="0" collapsed="false">
      <c r="A13" s="4" t="s">
        <v>140</v>
      </c>
      <c r="B13" s="15" t="n">
        <v>46182</v>
      </c>
      <c r="C13" s="10" t="n">
        <v>2.8</v>
      </c>
      <c r="D13" s="11" t="n">
        <v>43</v>
      </c>
      <c r="E13" s="4" t="s">
        <v>222</v>
      </c>
      <c r="F13" s="17" t="s">
        <v>227</v>
      </c>
      <c r="G13" s="17"/>
    </row>
    <row r="14" customFormat="false" ht="15" hidden="false" customHeight="false" outlineLevel="0" collapsed="false">
      <c r="A14" s="4" t="s">
        <v>140</v>
      </c>
      <c r="B14" s="15" t="n">
        <v>46212</v>
      </c>
      <c r="C14" s="10" t="n">
        <v>3.2</v>
      </c>
      <c r="D14" s="11" t="n">
        <v>61</v>
      </c>
      <c r="E14" s="4" t="s">
        <v>224</v>
      </c>
      <c r="F14" s="17" t="s">
        <v>227</v>
      </c>
      <c r="G14" s="17"/>
    </row>
    <row r="15" customFormat="false" ht="15" hidden="false" customHeight="false" outlineLevel="0" collapsed="false">
      <c r="A15" s="4" t="s">
        <v>140</v>
      </c>
      <c r="B15" s="15" t="n">
        <v>46242</v>
      </c>
      <c r="C15" s="10" t="n">
        <v>3.4</v>
      </c>
      <c r="D15" s="11" t="n">
        <v>68</v>
      </c>
      <c r="E15" s="4" t="s">
        <v>222</v>
      </c>
      <c r="F15" s="17" t="s">
        <v>227</v>
      </c>
      <c r="G15" s="17"/>
    </row>
    <row r="16" customFormat="false" ht="15" hidden="false" customHeight="false" outlineLevel="0" collapsed="false">
      <c r="A16" s="4" t="s">
        <v>140</v>
      </c>
      <c r="B16" s="15" t="n">
        <v>46272</v>
      </c>
      <c r="C16" s="10" t="n">
        <v>3.7</v>
      </c>
      <c r="D16" s="11" t="n">
        <v>65</v>
      </c>
      <c r="E16" s="4" t="s">
        <v>224</v>
      </c>
      <c r="F16" s="17" t="s">
        <v>227</v>
      </c>
      <c r="G16" s="17"/>
    </row>
  </sheetData>
  <autoFilter ref="A1:G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21034"/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50"/>
    <col collapsed="false" customWidth="true" hidden="false" outlineLevel="0" max="5" min="4" style="0" width="10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15" hidden="false" customHeight="false" outlineLevel="0" collapsed="false">
      <c r="A4" s="3" t="s">
        <v>230</v>
      </c>
    </row>
    <row r="5" customFormat="false" ht="15" hidden="false" customHeight="false" outlineLevel="0" collapsed="false">
      <c r="A5" s="2" t="s">
        <v>231</v>
      </c>
    </row>
    <row r="6" customFormat="false" ht="30" hidden="false" customHeight="true" outlineLevel="0" collapsed="false">
      <c r="A6" s="9" t="s">
        <v>232</v>
      </c>
      <c r="B6" s="9" t="s">
        <v>233</v>
      </c>
      <c r="C6" s="9" t="s">
        <v>234</v>
      </c>
      <c r="D6" s="9" t="s">
        <v>235</v>
      </c>
      <c r="E6" s="9" t="s">
        <v>236</v>
      </c>
      <c r="F6" s="9" t="s">
        <v>180</v>
      </c>
    </row>
    <row r="7" customFormat="false" ht="35.05" hidden="false" customHeight="false" outlineLevel="0" collapsed="false">
      <c r="A7" s="4" t="s">
        <v>237</v>
      </c>
      <c r="B7" s="4" t="s">
        <v>238</v>
      </c>
      <c r="C7" s="10" t="n">
        <v>0</v>
      </c>
      <c r="D7" s="10" t="n">
        <v>29</v>
      </c>
      <c r="E7" s="20" t="n">
        <v>0.0404</v>
      </c>
      <c r="F7" s="17" t="s">
        <v>239</v>
      </c>
    </row>
    <row r="8" customFormat="false" ht="35.05" hidden="false" customHeight="false" outlineLevel="0" collapsed="false">
      <c r="A8" s="4" t="s">
        <v>240</v>
      </c>
      <c r="B8" s="4" t="s">
        <v>238</v>
      </c>
      <c r="C8" s="10" t="n">
        <v>3.6</v>
      </c>
      <c r="D8" s="10" t="n">
        <v>10.8</v>
      </c>
      <c r="E8" s="20" t="n">
        <v>0.0408</v>
      </c>
      <c r="F8" s="17" t="s">
        <v>241</v>
      </c>
    </row>
    <row r="9" customFormat="false" ht="35.05" hidden="false" customHeight="false" outlineLevel="0" collapsed="false">
      <c r="A9" s="4" t="s">
        <v>242</v>
      </c>
      <c r="B9" s="4" t="s">
        <v>238</v>
      </c>
      <c r="C9" s="10" t="n">
        <v>3</v>
      </c>
      <c r="D9" s="10" t="n">
        <v>4.1</v>
      </c>
      <c r="E9" s="20" t="n">
        <v>0.0803</v>
      </c>
      <c r="F9" s="17" t="s">
        <v>243</v>
      </c>
    </row>
    <row r="12" customFormat="false" ht="15" hidden="false" customHeight="false" outlineLevel="0" collapsed="false">
      <c r="A12" s="3" t="s">
        <v>244</v>
      </c>
    </row>
    <row r="13" customFormat="false" ht="15" hidden="false" customHeight="false" outlineLevel="0" collapsed="false">
      <c r="A13" s="2" t="s">
        <v>245</v>
      </c>
    </row>
    <row r="14" customFormat="false" ht="30" hidden="false" customHeight="true" outlineLevel="0" collapsed="false">
      <c r="A14" s="9" t="s">
        <v>246</v>
      </c>
      <c r="B14" s="9" t="s">
        <v>247</v>
      </c>
      <c r="C14" s="9" t="s">
        <v>248</v>
      </c>
      <c r="D14" s="9" t="s">
        <v>249</v>
      </c>
      <c r="E14" s="9" t="s">
        <v>250</v>
      </c>
      <c r="F14" s="9" t="s">
        <v>180</v>
      </c>
    </row>
    <row r="15" customFormat="false" ht="15" hidden="false" customHeight="false" outlineLevel="0" collapsed="false">
      <c r="A15" s="4" t="s">
        <v>240</v>
      </c>
      <c r="B15" s="4" t="s">
        <v>9</v>
      </c>
      <c r="C15" s="21" t="n">
        <v>0.408</v>
      </c>
      <c r="D15" s="11" t="n">
        <v>78</v>
      </c>
      <c r="E15" s="20" t="n">
        <v>0.0089</v>
      </c>
      <c r="F15" s="4" t="s">
        <v>251</v>
      </c>
    </row>
    <row r="16" customFormat="false" ht="15" hidden="false" customHeight="false" outlineLevel="0" collapsed="false">
      <c r="A16" s="4" t="s">
        <v>252</v>
      </c>
      <c r="B16" s="4" t="s">
        <v>9</v>
      </c>
      <c r="C16" s="21" t="n">
        <v>0.38</v>
      </c>
      <c r="D16" s="11" t="n">
        <v>78</v>
      </c>
      <c r="E16" s="20" t="n">
        <v>0.0128</v>
      </c>
      <c r="F16" s="4" t="s">
        <v>251</v>
      </c>
    </row>
    <row r="17" customFormat="false" ht="15" hidden="false" customHeight="false" outlineLevel="0" collapsed="false">
      <c r="A17" s="4" t="s">
        <v>62</v>
      </c>
      <c r="B17" s="4" t="s">
        <v>9</v>
      </c>
      <c r="C17" s="21" t="n">
        <v>0.324</v>
      </c>
      <c r="D17" s="11" t="n">
        <v>78</v>
      </c>
      <c r="E17" s="20" t="n">
        <v>0.053</v>
      </c>
      <c r="F17" s="4" t="s">
        <v>253</v>
      </c>
    </row>
    <row r="18" customFormat="false" ht="15" hidden="false" customHeight="false" outlineLevel="0" collapsed="false">
      <c r="A18" s="4" t="s">
        <v>240</v>
      </c>
      <c r="B18" s="4" t="s">
        <v>64</v>
      </c>
      <c r="C18" s="21" t="n">
        <v>0.255</v>
      </c>
      <c r="D18" s="11" t="n">
        <v>78</v>
      </c>
      <c r="E18" s="20" t="n">
        <v>0.2303</v>
      </c>
      <c r="F18" s="4" t="s">
        <v>254</v>
      </c>
    </row>
    <row r="19" customFormat="false" ht="15" hidden="false" customHeight="false" outlineLevel="0" collapsed="false">
      <c r="A19" s="4" t="s">
        <v>60</v>
      </c>
      <c r="B19" s="4" t="s">
        <v>9</v>
      </c>
      <c r="C19" s="21" t="n">
        <v>0.245</v>
      </c>
      <c r="D19" s="11" t="n">
        <v>78</v>
      </c>
      <c r="E19" s="20" t="n">
        <v>0.2303</v>
      </c>
      <c r="F19" s="4" t="s">
        <v>254</v>
      </c>
    </row>
    <row r="20" customFormat="false" ht="15" hidden="false" customHeight="false" outlineLevel="0" collapsed="false">
      <c r="A20" s="4" t="s">
        <v>240</v>
      </c>
      <c r="B20" s="4" t="s">
        <v>52</v>
      </c>
      <c r="C20" s="21" t="n">
        <v>0.242</v>
      </c>
      <c r="D20" s="11" t="n">
        <v>78</v>
      </c>
      <c r="E20" s="20" t="n">
        <v>0.2303</v>
      </c>
      <c r="F20" s="4" t="s">
        <v>254</v>
      </c>
    </row>
    <row r="21" customFormat="false" ht="15" hidden="false" customHeight="false" outlineLevel="0" collapsed="false">
      <c r="A21" s="4" t="s">
        <v>62</v>
      </c>
      <c r="B21" s="4" t="s">
        <v>52</v>
      </c>
      <c r="C21" s="21" t="n">
        <v>0.234</v>
      </c>
      <c r="D21" s="11" t="n">
        <v>78</v>
      </c>
      <c r="E21" s="20" t="n">
        <v>0.2303</v>
      </c>
      <c r="F21" s="4" t="s">
        <v>254</v>
      </c>
    </row>
    <row r="22" customFormat="false" ht="15" hidden="false" customHeight="false" outlineLevel="0" collapsed="false">
      <c r="A22" s="4" t="s">
        <v>60</v>
      </c>
      <c r="B22" s="4" t="s">
        <v>64</v>
      </c>
      <c r="C22" s="21" t="n">
        <v>0.224</v>
      </c>
      <c r="D22" s="11" t="n">
        <v>78</v>
      </c>
      <c r="E22" s="20" t="n">
        <v>0.2303</v>
      </c>
      <c r="F22" s="4" t="s">
        <v>254</v>
      </c>
    </row>
    <row r="23" customFormat="false" ht="15" hidden="false" customHeight="false" outlineLevel="0" collapsed="false">
      <c r="A23" s="4" t="s">
        <v>62</v>
      </c>
      <c r="B23" s="4" t="s">
        <v>64</v>
      </c>
      <c r="C23" s="21" t="n">
        <v>0.223</v>
      </c>
      <c r="D23" s="11" t="n">
        <v>78</v>
      </c>
      <c r="E23" s="20" t="n">
        <v>0.2303</v>
      </c>
      <c r="F23" s="4" t="s">
        <v>254</v>
      </c>
    </row>
    <row r="24" customFormat="false" ht="15" hidden="false" customHeight="false" outlineLevel="0" collapsed="false">
      <c r="A24" s="4" t="s">
        <v>63</v>
      </c>
      <c r="B24" s="4" t="s">
        <v>255</v>
      </c>
      <c r="C24" s="21" t="n">
        <v>0.196</v>
      </c>
      <c r="D24" s="11" t="n">
        <v>78</v>
      </c>
      <c r="E24" s="20" t="n">
        <v>0.3568</v>
      </c>
      <c r="F24" s="4" t="s">
        <v>254</v>
      </c>
    </row>
    <row r="25" customFormat="false" ht="15" hidden="false" customHeight="false" outlineLevel="0" collapsed="false">
      <c r="A25" s="4" t="s">
        <v>63</v>
      </c>
      <c r="B25" s="4" t="s">
        <v>9</v>
      </c>
      <c r="C25" s="21" t="n">
        <v>0.188</v>
      </c>
      <c r="D25" s="11" t="n">
        <v>78</v>
      </c>
      <c r="E25" s="20" t="n">
        <v>0.3749</v>
      </c>
      <c r="F25" s="4" t="s">
        <v>254</v>
      </c>
    </row>
    <row r="26" customFormat="false" ht="15" hidden="false" customHeight="false" outlineLevel="0" collapsed="false">
      <c r="A26" s="4" t="s">
        <v>62</v>
      </c>
      <c r="B26" s="4" t="s">
        <v>255</v>
      </c>
      <c r="C26" s="21" t="n">
        <v>0.18</v>
      </c>
      <c r="D26" s="11" t="n">
        <v>78</v>
      </c>
      <c r="E26" s="20" t="n">
        <v>0.3749</v>
      </c>
      <c r="F26" s="4" t="s">
        <v>254</v>
      </c>
    </row>
    <row r="27" customFormat="false" ht="15" hidden="false" customHeight="false" outlineLevel="0" collapsed="false">
      <c r="A27" s="4" t="s">
        <v>60</v>
      </c>
      <c r="B27" s="4" t="s">
        <v>52</v>
      </c>
      <c r="C27" s="21" t="n">
        <v>0.179</v>
      </c>
      <c r="D27" s="11" t="n">
        <v>78</v>
      </c>
      <c r="E27" s="20" t="n">
        <v>0.3749</v>
      </c>
      <c r="F27" s="4" t="s">
        <v>254</v>
      </c>
    </row>
    <row r="28" customFormat="false" ht="15" hidden="false" customHeight="false" outlineLevel="0" collapsed="false">
      <c r="A28" s="4" t="s">
        <v>256</v>
      </c>
      <c r="B28" s="4" t="s">
        <v>255</v>
      </c>
      <c r="C28" s="21" t="n">
        <v>0.152</v>
      </c>
      <c r="D28" s="11" t="n">
        <v>78</v>
      </c>
      <c r="E28" s="20" t="n">
        <v>0.5544</v>
      </c>
      <c r="F28" s="4" t="s">
        <v>254</v>
      </c>
    </row>
    <row r="29" customFormat="false" ht="15" hidden="false" customHeight="false" outlineLevel="0" collapsed="false">
      <c r="A29" s="4" t="s">
        <v>65</v>
      </c>
      <c r="B29" s="4" t="s">
        <v>64</v>
      </c>
      <c r="C29" s="21" t="n">
        <v>-0.147</v>
      </c>
      <c r="D29" s="11" t="n">
        <v>78</v>
      </c>
      <c r="E29" s="20" t="n">
        <v>0.5544</v>
      </c>
      <c r="F29" s="4" t="s">
        <v>254</v>
      </c>
    </row>
    <row r="30" customFormat="false" ht="15" hidden="false" customHeight="false" outlineLevel="0" collapsed="false">
      <c r="A30" s="4" t="s">
        <v>240</v>
      </c>
      <c r="B30" s="4" t="s">
        <v>255</v>
      </c>
      <c r="C30" s="21" t="n">
        <v>0.131</v>
      </c>
      <c r="D30" s="11" t="n">
        <v>78</v>
      </c>
      <c r="E30" s="20" t="n">
        <v>0.6021</v>
      </c>
      <c r="F30" s="4" t="s">
        <v>254</v>
      </c>
    </row>
    <row r="31" customFormat="false" ht="15" hidden="false" customHeight="false" outlineLevel="0" collapsed="false">
      <c r="A31" s="4" t="s">
        <v>252</v>
      </c>
      <c r="B31" s="4" t="s">
        <v>52</v>
      </c>
      <c r="C31" s="21" t="n">
        <v>0.131</v>
      </c>
      <c r="D31" s="11" t="n">
        <v>78</v>
      </c>
      <c r="E31" s="20" t="n">
        <v>0.6021</v>
      </c>
      <c r="F31" s="4" t="s">
        <v>254</v>
      </c>
    </row>
    <row r="32" customFormat="false" ht="15" hidden="false" customHeight="false" outlineLevel="0" collapsed="false">
      <c r="A32" s="4" t="s">
        <v>63</v>
      </c>
      <c r="B32" s="4" t="s">
        <v>64</v>
      </c>
      <c r="C32" s="21" t="n">
        <v>0.126</v>
      </c>
      <c r="D32" s="11" t="n">
        <v>78</v>
      </c>
      <c r="E32" s="20" t="n">
        <v>0.6021</v>
      </c>
      <c r="F32" s="4" t="s">
        <v>254</v>
      </c>
    </row>
    <row r="33" customFormat="false" ht="15" hidden="false" customHeight="false" outlineLevel="0" collapsed="false">
      <c r="A33" s="4" t="s">
        <v>252</v>
      </c>
      <c r="B33" s="4" t="s">
        <v>64</v>
      </c>
      <c r="C33" s="21" t="n">
        <v>0.126</v>
      </c>
      <c r="D33" s="11" t="n">
        <v>78</v>
      </c>
      <c r="E33" s="20" t="n">
        <v>0.6021</v>
      </c>
      <c r="F33" s="4" t="s">
        <v>254</v>
      </c>
    </row>
    <row r="34" customFormat="false" ht="15" hidden="false" customHeight="false" outlineLevel="0" collapsed="false">
      <c r="A34" s="4" t="s">
        <v>60</v>
      </c>
      <c r="B34" s="4" t="s">
        <v>255</v>
      </c>
      <c r="C34" s="21" t="n">
        <v>0.113</v>
      </c>
      <c r="D34" s="11" t="n">
        <v>78</v>
      </c>
      <c r="E34" s="20" t="n">
        <v>0.6497</v>
      </c>
      <c r="F34" s="4" t="s">
        <v>254</v>
      </c>
    </row>
    <row r="37" customFormat="false" ht="15" hidden="false" customHeight="false" outlineLevel="0" collapsed="false">
      <c r="A37" s="3" t="s">
        <v>257</v>
      </c>
    </row>
    <row r="38" customFormat="false" ht="15" hidden="false" customHeight="false" outlineLevel="0" collapsed="false">
      <c r="A38" s="2" t="s">
        <v>258</v>
      </c>
    </row>
    <row r="39" customFormat="false" ht="30" hidden="false" customHeight="true" outlineLevel="0" collapsed="false">
      <c r="A39" s="9" t="s">
        <v>46</v>
      </c>
      <c r="B39" s="9" t="s">
        <v>232</v>
      </c>
      <c r="C39" s="9" t="s">
        <v>259</v>
      </c>
      <c r="D39" s="9" t="s">
        <v>260</v>
      </c>
      <c r="E39" s="9" t="s">
        <v>261</v>
      </c>
      <c r="F39" s="9" t="s">
        <v>233</v>
      </c>
    </row>
    <row r="40" customFormat="false" ht="15" hidden="false" customHeight="false" outlineLevel="0" collapsed="false">
      <c r="A40" s="15" t="n">
        <v>46253</v>
      </c>
      <c r="B40" s="4" t="s">
        <v>256</v>
      </c>
      <c r="C40" s="10" t="n">
        <v>375</v>
      </c>
      <c r="D40" s="10" t="n">
        <v>187</v>
      </c>
      <c r="E40" s="10" t="n">
        <v>3.96</v>
      </c>
      <c r="F40" s="4" t="s">
        <v>262</v>
      </c>
    </row>
    <row r="43" customFormat="false" ht="15" hidden="false" customHeight="false" outlineLevel="0" collapsed="false">
      <c r="A43" s="3" t="s">
        <v>263</v>
      </c>
    </row>
    <row r="44" customFormat="false" ht="15" hidden="false" customHeight="false" outlineLevel="0" collapsed="false">
      <c r="A44" s="2" t="s">
        <v>264</v>
      </c>
    </row>
    <row r="45" customFormat="false" ht="30" hidden="false" customHeight="true" outlineLevel="0" collapsed="false">
      <c r="A45" s="9" t="s">
        <v>6</v>
      </c>
      <c r="B45" s="9" t="s">
        <v>265</v>
      </c>
      <c r="C45" s="9" t="s">
        <v>249</v>
      </c>
    </row>
    <row r="46" customFormat="false" ht="15" hidden="false" customHeight="false" outlineLevel="0" collapsed="false">
      <c r="A46" s="4" t="s">
        <v>266</v>
      </c>
      <c r="B46" s="12" t="n">
        <v>0.39</v>
      </c>
      <c r="C46" s="11" t="n">
        <v>26</v>
      </c>
    </row>
    <row r="47" customFormat="false" ht="15" hidden="false" customHeight="false" outlineLevel="0" collapsed="false">
      <c r="A47" s="4" t="s">
        <v>267</v>
      </c>
      <c r="B47" s="12" t="n">
        <v>0.59</v>
      </c>
      <c r="C47" s="11" t="n">
        <v>16</v>
      </c>
    </row>
    <row r="48" customFormat="false" ht="15" hidden="false" customHeight="false" outlineLevel="0" collapsed="false">
      <c r="A48" s="4" t="s">
        <v>268</v>
      </c>
      <c r="B48" s="12" t="n">
        <v>0.46</v>
      </c>
      <c r="C48" s="11" t="n">
        <v>18</v>
      </c>
    </row>
    <row r="49" customFormat="false" ht="15" hidden="false" customHeight="false" outlineLevel="0" collapsed="false">
      <c r="A49" s="4" t="s">
        <v>269</v>
      </c>
      <c r="B49" s="12" t="n">
        <v>0.33</v>
      </c>
      <c r="C49" s="11" t="n">
        <v>18</v>
      </c>
    </row>
    <row r="52" customFormat="false" ht="15" hidden="false" customHeight="false" outlineLevel="0" collapsed="false">
      <c r="A52" s="3" t="s">
        <v>270</v>
      </c>
    </row>
    <row r="53" customFormat="false" ht="15" hidden="false" customHeight="false" outlineLevel="0" collapsed="false">
      <c r="A53" s="2" t="s">
        <v>271</v>
      </c>
    </row>
    <row r="54" customFormat="false" ht="30" hidden="false" customHeight="true" outlineLevel="0" collapsed="false">
      <c r="A54" s="9" t="s">
        <v>272</v>
      </c>
      <c r="B54" s="9" t="s">
        <v>273</v>
      </c>
      <c r="C54" s="9" t="s">
        <v>274</v>
      </c>
    </row>
    <row r="55" customFormat="false" ht="23.85" hidden="false" customHeight="false" outlineLevel="0" collapsed="false">
      <c r="A55" s="4" t="s">
        <v>275</v>
      </c>
      <c r="B55" s="17" t="s">
        <v>276</v>
      </c>
      <c r="C55" s="17" t="s">
        <v>277</v>
      </c>
    </row>
    <row r="56" customFormat="false" ht="23.85" hidden="false" customHeight="false" outlineLevel="0" collapsed="false">
      <c r="A56" s="4" t="s">
        <v>278</v>
      </c>
      <c r="B56" s="17" t="s">
        <v>279</v>
      </c>
      <c r="C56" s="17" t="s">
        <v>277</v>
      </c>
    </row>
    <row r="57" customFormat="false" ht="23.85" hidden="false" customHeight="false" outlineLevel="0" collapsed="false">
      <c r="A57" s="4" t="s">
        <v>280</v>
      </c>
      <c r="B57" s="17" t="s">
        <v>281</v>
      </c>
      <c r="C57" s="17" t="s">
        <v>282</v>
      </c>
    </row>
    <row r="58" customFormat="false" ht="23.85" hidden="false" customHeight="false" outlineLevel="0" collapsed="false">
      <c r="A58" s="4" t="s">
        <v>283</v>
      </c>
      <c r="B58" s="17" t="s">
        <v>284</v>
      </c>
      <c r="C58" s="17" t="s">
        <v>282</v>
      </c>
    </row>
    <row r="59" customFormat="false" ht="23.85" hidden="false" customHeight="false" outlineLevel="0" collapsed="false">
      <c r="A59" s="4" t="s">
        <v>285</v>
      </c>
      <c r="B59" s="17" t="s">
        <v>239</v>
      </c>
      <c r="C59" s="17" t="s">
        <v>282</v>
      </c>
    </row>
    <row r="60" customFormat="false" ht="23.85" hidden="false" customHeight="false" outlineLevel="0" collapsed="false">
      <c r="A60" s="4" t="s">
        <v>286</v>
      </c>
      <c r="B60" s="17" t="s">
        <v>287</v>
      </c>
      <c r="C60" s="17" t="s">
        <v>288</v>
      </c>
    </row>
    <row r="61" customFormat="false" ht="23.85" hidden="false" customHeight="false" outlineLevel="0" collapsed="false">
      <c r="A61" s="4" t="s">
        <v>289</v>
      </c>
      <c r="B61" s="17" t="s">
        <v>290</v>
      </c>
      <c r="C61" s="17" t="s">
        <v>288</v>
      </c>
    </row>
    <row r="62" customFormat="false" ht="23.85" hidden="false" customHeight="false" outlineLevel="0" collapsed="false">
      <c r="A62" s="4" t="s">
        <v>291</v>
      </c>
      <c r="B62" s="17" t="s">
        <v>292</v>
      </c>
      <c r="C62" s="17" t="s">
        <v>293</v>
      </c>
    </row>
    <row r="63" customFormat="false" ht="23.85" hidden="false" customHeight="false" outlineLevel="0" collapsed="false">
      <c r="A63" s="4" t="s">
        <v>294</v>
      </c>
      <c r="B63" s="17" t="s">
        <v>295</v>
      </c>
      <c r="C63" s="17" t="s">
        <v>293</v>
      </c>
    </row>
    <row r="64" customFormat="false" ht="15" hidden="false" customHeight="false" outlineLevel="0" collapsed="false">
      <c r="A64" s="4" t="s">
        <v>296</v>
      </c>
      <c r="B64" s="17" t="s">
        <v>297</v>
      </c>
      <c r="C64" s="17" t="s">
        <v>298</v>
      </c>
    </row>
    <row r="65" customFormat="false" ht="15" hidden="false" customHeight="false" outlineLevel="0" collapsed="false">
      <c r="A65" s="4" t="s">
        <v>299</v>
      </c>
      <c r="B65" s="17" t="s">
        <v>300</v>
      </c>
      <c r="C65" s="17" t="s">
        <v>301</v>
      </c>
    </row>
    <row r="66" customFormat="false" ht="15" hidden="false" customHeight="false" outlineLevel="0" collapsed="false">
      <c r="A66" s="4" t="s">
        <v>302</v>
      </c>
      <c r="B66" s="17" t="s">
        <v>303</v>
      </c>
      <c r="C66" s="17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4" min="3" style="0" width="30"/>
    <col collapsed="false" customWidth="true" hidden="false" outlineLevel="0" max="6" min="5" style="0" width="2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46</v>
      </c>
      <c r="B1" s="9" t="s">
        <v>304</v>
      </c>
      <c r="C1" s="9" t="s">
        <v>305</v>
      </c>
      <c r="D1" s="9" t="s">
        <v>306</v>
      </c>
      <c r="E1" s="9" t="s">
        <v>307</v>
      </c>
      <c r="F1" s="9" t="s">
        <v>308</v>
      </c>
      <c r="G1" s="9" t="s">
        <v>309</v>
      </c>
      <c r="H1" s="9" t="s">
        <v>310</v>
      </c>
      <c r="I1" s="9" t="s">
        <v>101</v>
      </c>
      <c r="J1" s="9" t="s">
        <v>311</v>
      </c>
      <c r="K1" s="9" t="s">
        <v>312</v>
      </c>
    </row>
    <row r="2" customFormat="false" ht="23.85" hidden="false" customHeight="false" outlineLevel="0" collapsed="false">
      <c r="A2" s="15" t="n">
        <v>46172</v>
      </c>
      <c r="B2" s="17" t="s">
        <v>313</v>
      </c>
      <c r="C2" s="17" t="s">
        <v>314</v>
      </c>
      <c r="D2" s="17" t="s">
        <v>315</v>
      </c>
      <c r="E2" s="17" t="s">
        <v>316</v>
      </c>
      <c r="F2" s="17" t="s">
        <v>317</v>
      </c>
      <c r="G2" s="11" t="n">
        <v>4</v>
      </c>
      <c r="H2" s="15" t="n">
        <v>46262</v>
      </c>
      <c r="I2" s="17" t="s">
        <v>318</v>
      </c>
      <c r="J2" s="11" t="n">
        <v>4</v>
      </c>
      <c r="K2" s="17" t="s">
        <v>319</v>
      </c>
    </row>
    <row r="3" customFormat="false" ht="15" hidden="false" customHeight="false" outlineLevel="0" collapsed="false">
      <c r="A3" s="15" t="n">
        <v>46291</v>
      </c>
      <c r="B3" s="17" t="s">
        <v>320</v>
      </c>
      <c r="C3" s="17"/>
      <c r="D3" s="17" t="s">
        <v>321</v>
      </c>
      <c r="E3" s="17"/>
      <c r="F3" s="17"/>
      <c r="G3" s="11" t="n">
        <v>3</v>
      </c>
      <c r="H3" s="15" t="n">
        <v>46321</v>
      </c>
      <c r="I3" s="17"/>
      <c r="J3" s="11"/>
      <c r="K3" s="17"/>
    </row>
  </sheetData>
  <autoFilter ref="A1:K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0"/>
    <col collapsed="false" customWidth="true" hidden="false" outlineLevel="0" max="4" min="3" style="0" width="12"/>
    <col collapsed="false" customWidth="true" hidden="false" outlineLevel="0" max="5" min="5" style="0" width="20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50"/>
  </cols>
  <sheetData>
    <row r="1" customFormat="false" ht="30" hidden="false" customHeight="true" outlineLevel="0" collapsed="false">
      <c r="A1" s="9" t="s">
        <v>322</v>
      </c>
      <c r="B1" s="9" t="s">
        <v>323</v>
      </c>
      <c r="C1" s="9" t="s">
        <v>78</v>
      </c>
      <c r="D1" s="9" t="s">
        <v>79</v>
      </c>
      <c r="E1" s="9" t="s">
        <v>232</v>
      </c>
      <c r="F1" s="9" t="s">
        <v>324</v>
      </c>
      <c r="G1" s="9" t="s">
        <v>325</v>
      </c>
      <c r="H1" s="9" t="s">
        <v>236</v>
      </c>
      <c r="I1" s="9" t="s">
        <v>180</v>
      </c>
    </row>
    <row r="2" customFormat="false" ht="23.85" hidden="false" customHeight="false" outlineLevel="0" collapsed="false">
      <c r="A2" s="17" t="s">
        <v>326</v>
      </c>
      <c r="B2" s="17" t="s">
        <v>327</v>
      </c>
      <c r="C2" s="15" t="n">
        <v>46271</v>
      </c>
      <c r="D2" s="15"/>
      <c r="E2" s="4" t="s">
        <v>9</v>
      </c>
      <c r="F2" s="18" t="n">
        <v>0.41</v>
      </c>
      <c r="G2" s="18" t="n">
        <v>0.39</v>
      </c>
      <c r="H2" s="21" t="n">
        <v>0.7775</v>
      </c>
      <c r="I2" s="17" t="s">
        <v>328</v>
      </c>
    </row>
  </sheetData>
  <autoFilter ref="A1:I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1"/>
  </cols>
  <sheetData>
    <row r="1" customFormat="false" ht="30" hidden="false" customHeight="true" outlineLevel="0" collapsed="false">
      <c r="A1" s="9" t="s">
        <v>329</v>
      </c>
      <c r="B1" s="9" t="s">
        <v>330</v>
      </c>
      <c r="C1" s="9" t="s">
        <v>331</v>
      </c>
      <c r="D1" s="9" t="s">
        <v>332</v>
      </c>
      <c r="E1" s="9" t="s">
        <v>333</v>
      </c>
      <c r="F1" s="9" t="s">
        <v>334</v>
      </c>
      <c r="G1" s="9" t="s">
        <v>335</v>
      </c>
    </row>
    <row r="2" customFormat="false" ht="15" hidden="false" customHeight="false" outlineLevel="0" collapsed="false">
      <c r="A2" s="4" t="s">
        <v>336</v>
      </c>
      <c r="B2" s="4" t="s">
        <v>337</v>
      </c>
      <c r="C2" s="11" t="n">
        <v>3</v>
      </c>
      <c r="D2" s="11" t="n">
        <v>38</v>
      </c>
      <c r="E2" s="15" t="n">
        <v>46300</v>
      </c>
      <c r="F2" s="11" t="n">
        <f aca="true">IF(ISNUMBER(E2),TODAY()-E2,"")</f>
        <v>5</v>
      </c>
      <c r="G2" s="4" t="str">
        <f aca="false">IF(AND(ISNUMBER(C2),ISNUMBER(F2)),IF(F2&gt;C2,"Oui","Non"),"")</f>
        <v>Oui</v>
      </c>
    </row>
    <row r="3" customFormat="false" ht="15" hidden="false" customHeight="false" outlineLevel="0" collapsed="false">
      <c r="A3" s="4" t="s">
        <v>338</v>
      </c>
      <c r="B3" s="4" t="s">
        <v>339</v>
      </c>
      <c r="C3" s="11" t="n">
        <v>30</v>
      </c>
      <c r="D3" s="11" t="n">
        <v>1</v>
      </c>
      <c r="E3" s="15" t="n">
        <v>46256</v>
      </c>
      <c r="F3" s="11" t="n">
        <f aca="true">IF(ISNUMBER(E3),TODAY()-E3,"")</f>
        <v>49</v>
      </c>
      <c r="G3" s="4" t="str">
        <f aca="false">IF(AND(ISNUMBER(C3),ISNUMBER(F3)),IF(F3&gt;C3,"Oui","Non"),"")</f>
        <v>Oui</v>
      </c>
    </row>
  </sheetData>
  <autoFilter ref="A1:G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30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60"/>
    <col collapsed="false" customWidth="true" hidden="false" outlineLevel="0" max="8" min="8" style="0" width="22"/>
  </cols>
  <sheetData>
    <row r="1" customFormat="false" ht="30" hidden="false" customHeight="true" outlineLevel="0" collapsed="false">
      <c r="A1" s="9" t="s">
        <v>46</v>
      </c>
      <c r="B1" s="9" t="s">
        <v>159</v>
      </c>
      <c r="C1" s="9" t="s">
        <v>340</v>
      </c>
      <c r="D1" s="9" t="s">
        <v>341</v>
      </c>
      <c r="E1" s="9" t="s">
        <v>342</v>
      </c>
      <c r="F1" s="9" t="s">
        <v>343</v>
      </c>
      <c r="G1" s="9" t="s">
        <v>344</v>
      </c>
      <c r="H1" s="9" t="s">
        <v>345</v>
      </c>
    </row>
  </sheetData>
  <autoFilter ref="A1:H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2026-10-10T03:21:03Z</dcterms:created>
  <dc:creator>openpyxl</dc:creator>
  <dc:description/>
  <dc:language>en-US</dc:language>
  <cp:lastModifiedBy/>
  <dcterms:modified xsi:type="dcterms:W3CDTF">2026-10-10T03:21:19Z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