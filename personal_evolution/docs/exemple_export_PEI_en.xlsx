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ily" sheetId="2" state="visible" r:id="rId4"/>
    <sheet name="Weekly" sheetId="3" state="visible" r:id="rId5"/>
    <sheet name="Monthly" sheetId="4" state="visible" r:id="rId6"/>
    <sheet name="Intentions" sheetId="5" state="visible" r:id="rId7"/>
    <sheet name="Activities" sheetId="6" state="visible" r:id="rId8"/>
    <sheet name="Reflections" sheetId="7" state="visible" r:id="rId9"/>
    <sheet name="Calibration" sheetId="8" state="visible" r:id="rId10"/>
    <sheet name="Dropped" sheetId="9" state="visible" r:id="rId11"/>
    <sheet name="Goals" sheetId="10" state="visible" r:id="rId12"/>
    <sheet name="Skills" sheetId="11" state="visible" r:id="rId13"/>
    <sheet name="Assessments" sheetId="12" state="visible" r:id="rId14"/>
    <sheet name="Analyses" sheetId="13" state="visible" r:id="rId15"/>
    <sheet name="Decisions" sheetId="14" state="visible" r:id="rId16"/>
    <sheet name="Experiments" sheetId="15" state="visible" r:id="rId17"/>
    <sheet name="Relationships" sheetId="16" state="visible" r:id="rId18"/>
    <sheet name="Media" sheetId="17" state="visible" r:id="rId19"/>
  </sheets>
  <definedNames>
    <definedName function="false" hidden="true" localSheetId="5" name="_xlnm._FilterDatabase" vbProcedure="false">Activities!$A$1:$K$190</definedName>
    <definedName function="false" hidden="true" localSheetId="11" name="_xlnm._FilterDatabase" vbProcedure="false">Assessments!$A$1:$G$10</definedName>
    <definedName function="false" hidden="true" localSheetId="7" name="_xlnm._FilterDatabase" vbProcedure="false">Calibration!$A$4:$G$17</definedName>
    <definedName function="false" hidden="true" localSheetId="1" name="_xlnm._FilterDatabase" vbProcedure="false">Daily!$A$1:$AC$91</definedName>
    <definedName function="false" hidden="true" localSheetId="13" name="_xlnm._FilterDatabase" vbProcedure="false">Decisions!$A$1:$K$3</definedName>
    <definedName function="false" hidden="true" localSheetId="8" name="_xlnm._FilterDatabase" vbProcedure="false">Dropped!$A$4:$F$17</definedName>
    <definedName function="false" hidden="true" localSheetId="14" name="_xlnm._FilterDatabase" vbProcedure="false">Experiments!$A$1:$I$2</definedName>
    <definedName function="false" hidden="true" localSheetId="9" name="_xlnm._FilterDatabase" vbProcedure="false">Goals!$A$4:$J$10</definedName>
    <definedName function="false" hidden="true" localSheetId="4" name="_xlnm._FilterDatabase" vbProcedure="false">Intentions!$A$1:$N$365</definedName>
    <definedName function="false" hidden="true" localSheetId="16" name="_xlnm._FilterDatabase" vbProcedure="false">Media!$A$1:$H$2</definedName>
    <definedName function="false" hidden="true" localSheetId="3" name="_xlnm._FilterDatabase" vbProcedure="false">Monthly!$A$1:$T$5</definedName>
    <definedName function="false" hidden="true" localSheetId="6" name="_xlnm._FilterDatabase" vbProcedure="false">Reflections!$A$1:$D$70</definedName>
    <definedName function="false" hidden="true" localSheetId="15" name="_xlnm._FilterDatabase" vbProcedure="false">Relationships!$A$1:$G$3</definedName>
    <definedName function="false" hidden="true" localSheetId="10" name="_xlnm._FilterDatabase" vbProcedure="false">Skills!$A$4:$I$7</definedName>
    <definedName function="false" hidden="true" localSheetId="2" name="_xlnm._FilterDatabase" vbProcedure="false">Weekly!$A$1:$T$15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Done = 1, Partial = 0.5, Not done, Dropped or Postponed = 0, Planned = not reviewed (empty).</t>
        </r>
      </text>
    </comment>
  </commentList>
</comments>
</file>

<file path=xl/sharedStrings.xml><?xml version="1.0" encoding="utf-8"?>
<sst xmlns="http://schemas.openxmlformats.org/spreadsheetml/2006/main" count="3873" uniqueCount="353">
  <si>
    <t xml:space="preserve">Personal Evolution Intelligence</t>
  </si>
  <si>
    <t xml:space="preserve">Exported on 16/10/2026 at 10:20, period from 19/07/2026 to 16/10/2026</t>
  </si>
  <si>
    <t xml:space="preserve">Key indicators</t>
  </si>
  <si>
    <t xml:space="preserve">Days in the period</t>
  </si>
  <si>
    <t xml:space="preserve">Days filled in</t>
  </si>
  <si>
    <t xml:space="preserve">Consistency</t>
  </si>
  <si>
    <t xml:space="preserve">Intentions set</t>
  </si>
  <si>
    <t xml:space="preserve">Intentions reviewed</t>
  </si>
  <si>
    <t xml:space="preserve">Intentions done (fully or partly)</t>
  </si>
  <si>
    <t xml:space="preserve">Completion rate</t>
  </si>
  <si>
    <t xml:space="preserve">Done = 1, Partial = 0.5, other statuses = 0</t>
  </si>
  <si>
    <t xml:space="preserve">Total tracked time (hours)</t>
  </si>
  <si>
    <t xml:space="preserve">Average tracked time per filled in day (minutes)</t>
  </si>
  <si>
    <t xml:space="preserve">Average gap between planned and actual time (minutes)</t>
  </si>
  <si>
    <t xml:space="preserve">Average sleep (hours)</t>
  </si>
  <si>
    <t xml:space="preserve">Average energy (out of 5)</t>
  </si>
  <si>
    <t xml:space="preserve">Average mood (out of 5)</t>
  </si>
  <si>
    <t xml:space="preserve">Written reflections</t>
  </si>
  <si>
    <t xml:space="preserve">Most hours in one week</t>
  </si>
  <si>
    <t xml:space="preserve">Days filled in the same day</t>
  </si>
  <si>
    <t xml:space="preserve">Days caught up later</t>
  </si>
  <si>
    <t xml:space="preserve">Days forgotten (deadline passed)</t>
  </si>
  <si>
    <t xml:space="preserve">Same day forgetting rate</t>
  </si>
  <si>
    <t xml:space="preserve">Average catch up delay (days)</t>
  </si>
  <si>
    <t xml:space="preserve">By life dimension</t>
  </si>
  <si>
    <t xml:space="preserve">Dimension</t>
  </si>
  <si>
    <t xml:space="preserve">Hours</t>
  </si>
  <si>
    <t xml:space="preserve">Intentions</t>
  </si>
  <si>
    <t xml:space="preserve">Share of time</t>
  </si>
  <si>
    <t xml:space="preserve">Spiritual</t>
  </si>
  <si>
    <t xml:space="preserve">Physical</t>
  </si>
  <si>
    <t xml:space="preserve">Studies</t>
  </si>
  <si>
    <t xml:space="preserve">Professional</t>
  </si>
  <si>
    <t xml:space="preserve">Personal</t>
  </si>
  <si>
    <t xml:space="preserve">Relationships</t>
  </si>
  <si>
    <t xml:space="preserve">Leisure and creativity</t>
  </si>
  <si>
    <t xml:space="preserve">Workbook contents</t>
  </si>
  <si>
    <t xml:space="preserve">Daily</t>
  </si>
  <si>
    <t xml:space="preserve">One row per day: reported indicators and totals computed by formulas.</t>
  </si>
  <si>
    <t xml:space="preserve">Weekly, Monthly</t>
  </si>
  <si>
    <t xml:space="preserve">Weekly and monthly aggregates (formulas).</t>
  </si>
  <si>
    <t xml:space="preserve">Intentions, Activities, Reflections</t>
  </si>
  <si>
    <t xml:space="preserve">Raw data for the period. Editable: the indicators recalculate.</t>
  </si>
  <si>
    <t xml:space="preserve">Calibration, Dropped</t>
  </si>
  <si>
    <t xml:space="preserve">Planned versus actual time, goals not done and reasons (formulas).</t>
  </si>
  <si>
    <t xml:space="preserve">Goals, Skills, Assessments</t>
  </si>
  <si>
    <t xml:space="preserve">Progress of goals and skills.</t>
  </si>
  <si>
    <t xml:space="preserve">Analyses</t>
  </si>
  <si>
    <t xml:space="preserve">Trends, associations, unusual days, recommendations (values computed by PEI).</t>
  </si>
  <si>
    <t xml:space="preserve">Decisions, Experiments, Relationships, Media</t>
  </si>
  <si>
    <t xml:space="preserve">Log of decisions, experiments, relationships and files.</t>
  </si>
  <si>
    <t xml:space="preserve">Date</t>
  </si>
  <si>
    <t xml:space="preserve">Day</t>
  </si>
  <si>
    <t xml:space="preserve">Filled in</t>
  </si>
  <si>
    <t xml:space="preserve">Reviewed</t>
  </si>
  <si>
    <t xml:space="preserve">Done</t>
  </si>
  <si>
    <t xml:space="preserve">Planned time (min)</t>
  </si>
  <si>
    <t xml:space="preserve">Actual time (min)</t>
  </si>
  <si>
    <t xml:space="preserve">Spiritual (min)</t>
  </si>
  <si>
    <t xml:space="preserve">Physical (min)</t>
  </si>
  <si>
    <t xml:space="preserve">Studies (min)</t>
  </si>
  <si>
    <t xml:space="preserve">Professional (min)</t>
  </si>
  <si>
    <t xml:space="preserve">Personal (min)</t>
  </si>
  <si>
    <t xml:space="preserve">Relationships (min)</t>
  </si>
  <si>
    <t xml:space="preserve">Leisure and creativity (min)</t>
  </si>
  <si>
    <t xml:space="preserve">Sleep (h)</t>
  </si>
  <si>
    <t xml:space="preserve">Sleep quality</t>
  </si>
  <si>
    <t xml:space="preserve">Energy</t>
  </si>
  <si>
    <t xml:space="preserve">Motivation</t>
  </si>
  <si>
    <t xml:space="preserve">Mood</t>
  </si>
  <si>
    <t xml:space="preserve">Stress</t>
  </si>
  <si>
    <t xml:space="preserve">Screen (min)</t>
  </si>
  <si>
    <t xml:space="preserve">Steps</t>
  </si>
  <si>
    <t xml:space="preserve">Water (l)</t>
  </si>
  <si>
    <t xml:space="preserve">Reflections</t>
  </si>
  <si>
    <t xml:space="preserve">Entries</t>
  </si>
  <si>
    <t xml:space="preserve">Entry delay (days)</t>
  </si>
  <si>
    <t xml:space="preserve">Highlight</t>
  </si>
  <si>
    <t xml:space="preserve">Yes</t>
  </si>
  <si>
    <t xml:space="preserve">Caught up later</t>
  </si>
  <si>
    <t xml:space="preserve">Filled in the same day</t>
  </si>
  <si>
    <t xml:space="preserve">No</t>
  </si>
  <si>
    <t xml:space="preserve">Forgotten (locked)</t>
  </si>
  <si>
    <t xml:space="preserve">Réussite de l'examen de statistiques.</t>
  </si>
  <si>
    <t xml:space="preserve">Culte très édifiant ce dimanche.</t>
  </si>
  <si>
    <t xml:space="preserve">Match de football avec les amis du quartier.</t>
  </si>
  <si>
    <t xml:space="preserve">Projet Python présenté à des amis.</t>
  </si>
  <si>
    <t xml:space="preserve">Belle discussion avec un mentor sur ma carrière.</t>
  </si>
  <si>
    <t xml:space="preserve">To catch up</t>
  </si>
  <si>
    <t xml:space="preserve">Current day</t>
  </si>
  <si>
    <t xml:space="preserve">Start</t>
  </si>
  <si>
    <t xml:space="preserve">End</t>
  </si>
  <si>
    <t xml:space="preserve">Tracked hours</t>
  </si>
  <si>
    <t xml:space="preserve">Spiritual (h)</t>
  </si>
  <si>
    <t xml:space="preserve">Physical (h)</t>
  </si>
  <si>
    <t xml:space="preserve">Studies (h)</t>
  </si>
  <si>
    <t xml:space="preserve">Professional (h)</t>
  </si>
  <si>
    <t xml:space="preserve">Personal (h)</t>
  </si>
  <si>
    <t xml:space="preserve">Relationships (h)</t>
  </si>
  <si>
    <t xml:space="preserve">Leisure and creativity (h)</t>
  </si>
  <si>
    <t xml:space="preserve">Average sleep (h)</t>
  </si>
  <si>
    <t xml:space="preserve">Average energy</t>
  </si>
  <si>
    <t xml:space="preserve">Average mood</t>
  </si>
  <si>
    <t xml:space="preserve">Average estimate gap (min)</t>
  </si>
  <si>
    <t xml:space="preserve">No.</t>
  </si>
  <si>
    <t xml:space="preserve">Activity type</t>
  </si>
  <si>
    <t xml:space="preserve">Intention</t>
  </si>
  <si>
    <t xml:space="preserve">Priority</t>
  </si>
  <si>
    <t xml:space="preserve">Planned duration (min)</t>
  </si>
  <si>
    <t xml:space="preserve">Status</t>
  </si>
  <si>
    <t xml:space="preserve">Actual duration (min)</t>
  </si>
  <si>
    <t xml:space="preserve">Gap (min)</t>
  </si>
  <si>
    <t xml:space="preserve">Completion score</t>
  </si>
  <si>
    <t xml:space="preserve">Result</t>
  </si>
  <si>
    <t xml:space="preserve">Reason for a gap</t>
  </si>
  <si>
    <t xml:space="preserve">Linked goal</t>
  </si>
  <si>
    <t xml:space="preserve">Prayer</t>
  </si>
  <si>
    <t xml:space="preserve">Temps de prière</t>
  </si>
  <si>
    <t xml:space="preserve">High</t>
  </si>
  <si>
    <t xml:space="preserve">Machine Learning</t>
  </si>
  <si>
    <t xml:space="preserve">Étudier le Machine Learning</t>
  </si>
  <si>
    <t xml:space="preserve">Low</t>
  </si>
  <si>
    <t xml:space="preserve">Module terminé</t>
  </si>
  <si>
    <t xml:space="preserve">Terminer trois projets de data science publiés sur GitHub</t>
  </si>
  <si>
    <t xml:space="preserve">Family</t>
  </si>
  <si>
    <t xml:space="preserve">Appeler maman</t>
  </si>
  <si>
    <t xml:space="preserve">Not done</t>
  </si>
  <si>
    <t xml:space="preserve">réunion qui a débordé</t>
  </si>
  <si>
    <t xml:space="preserve">Walking</t>
  </si>
  <si>
    <t xml:space="preserve">Marcher 40 minutes</t>
  </si>
  <si>
    <t xml:space="preserve">Normal</t>
  </si>
  <si>
    <t xml:space="preserve">Bible reading</t>
  </si>
  <si>
    <t xml:space="preserve">Lire un chapitre de la Bible</t>
  </si>
  <si>
    <t xml:space="preserve">Lire toute la Bible en un an</t>
  </si>
  <si>
    <t xml:space="preserve">Scientific article</t>
  </si>
  <si>
    <t xml:space="preserve">Lire un article scientifique</t>
  </si>
  <si>
    <t xml:space="preserve">Python</t>
  </si>
  <si>
    <t xml:space="preserve">Travailler sur mon projet Python</t>
  </si>
  <si>
    <t xml:space="preserve">Exercices terminés</t>
  </si>
  <si>
    <t xml:space="preserve">Partial</t>
  </si>
  <si>
    <t xml:space="preserve">Job applications</t>
  </si>
  <si>
    <t xml:space="preserve">Envoyer une candidature</t>
  </si>
  <si>
    <t xml:space="preserve">imprévu familial</t>
  </si>
  <si>
    <t xml:space="preserve">Envoyer dix candidatures ciblées</t>
  </si>
  <si>
    <t xml:space="preserve">Portfolio</t>
  </si>
  <si>
    <t xml:space="preserve">Améliorer mon portfolio GitHub</t>
  </si>
  <si>
    <t xml:space="preserve">manque de temps</t>
  </si>
  <si>
    <t xml:space="preserve">procrastination</t>
  </si>
  <si>
    <t xml:space="preserve">Music</t>
  </si>
  <si>
    <t xml:space="preserve">Pratiquer la guitare</t>
  </si>
  <si>
    <t xml:space="preserve">Postponed</t>
  </si>
  <si>
    <t xml:space="preserve">Finances</t>
  </si>
  <si>
    <t xml:space="preserve">Faire le point sur mon budget</t>
  </si>
  <si>
    <t xml:space="preserve">fatigue</t>
  </si>
  <si>
    <t xml:space="preserve">Dropped</t>
  </si>
  <si>
    <t xml:space="preserve">trop d'objectifs dans la journée</t>
  </si>
  <si>
    <t xml:space="preserve">Sport</t>
  </si>
  <si>
    <t xml:space="preserve">Faire 30 minutes de sport</t>
  </si>
  <si>
    <t xml:space="preserve">Faire du sport trois fois par semaine</t>
  </si>
  <si>
    <t xml:space="preserve">Statistics</t>
  </si>
  <si>
    <t xml:space="preserve">Réviser les statistiques</t>
  </si>
  <si>
    <t xml:space="preserve">Planned</t>
  </si>
  <si>
    <t xml:space="preserve">Bug corrigé</t>
  </si>
  <si>
    <t xml:space="preserve">pas motivé</t>
  </si>
  <si>
    <t xml:space="preserve">Chapitre compris</t>
  </si>
  <si>
    <t xml:space="preserve">Activity</t>
  </si>
  <si>
    <t xml:space="preserve">Duration (min)</t>
  </si>
  <si>
    <t xml:space="preserve">Skill</t>
  </si>
  <si>
    <t xml:space="preserve">Football</t>
  </si>
  <si>
    <t xml:space="preserve">Match de football</t>
  </si>
  <si>
    <t xml:space="preserve">Statistiques</t>
  </si>
  <si>
    <t xml:space="preserve">Type</t>
  </si>
  <si>
    <t xml:space="preserve">Content</t>
  </si>
  <si>
    <t xml:space="preserve">Learning</t>
  </si>
  <si>
    <t xml:space="preserve">J'ai compris la différence entre corrélation et causalité.</t>
  </si>
  <si>
    <t xml:space="preserve">Bible passage</t>
  </si>
  <si>
    <t xml:space="preserve">Je puis tout par celui qui me fortifie.</t>
  </si>
  <si>
    <t xml:space="preserve">Gratitude</t>
  </si>
  <si>
    <t xml:space="preserve">Reconnaissant pour la santé et la famille.</t>
  </si>
  <si>
    <t xml:space="preserve">J'ai compris comment fonctionne la régularisation L2.</t>
  </si>
  <si>
    <t xml:space="preserve">Recommande à l'Éternel tes œuvres, et tes projets réussiront.</t>
  </si>
  <si>
    <t xml:space="preserve">J'ai appris la validation croisée.</t>
  </si>
  <si>
    <t xml:space="preserve">Notable event</t>
  </si>
  <si>
    <t xml:space="preserve">J'ai appris à utiliser groupby avec Pandas.</t>
  </si>
  <si>
    <t xml:space="preserve">Fortifie toi et prends courage.</t>
  </si>
  <si>
    <t xml:space="preserve">J'ai compris le principe des arbres de décision.</t>
  </si>
  <si>
    <t xml:space="preserve">Time calibration</t>
  </si>
  <si>
    <t xml:space="preserve">Planned versus actually used time, by activity type (intentions with planned and actual duration).</t>
  </si>
  <si>
    <t xml:space="preserve">Observations</t>
  </si>
  <si>
    <t xml:space="preserve">Average planned (min)</t>
  </si>
  <si>
    <t xml:space="preserve">Average actual (min)</t>
  </si>
  <si>
    <t xml:space="preserve">Average gap (min)</t>
  </si>
  <si>
    <t xml:space="preserve">Actual / planned</t>
  </si>
  <si>
    <t xml:space="preserve">Interpretation</t>
  </si>
  <si>
    <t xml:space="preserve">Thresholds: actual / planned ratio above 1.1 = underestimate, below 0.9 = overestimate. At least 3 observations are needed.</t>
  </si>
  <si>
    <t xml:space="preserve">Goals not done</t>
  </si>
  <si>
    <t xml:space="preserve">Share of reviewed intentions that were not done, by activity type.</t>
  </si>
  <si>
    <t xml:space="preserve">Not done rate</t>
  </si>
  <si>
    <t xml:space="preserve">Reasons given</t>
  </si>
  <si>
    <t xml:space="preserve">Reason</t>
  </si>
  <si>
    <t xml:space="preserve">Number of times</t>
  </si>
  <si>
    <t xml:space="preserve">Goals</t>
  </si>
  <si>
    <t xml:space="preserve">Progress computed by PEI at export time, including actions of sub goals.</t>
  </si>
  <si>
    <t xml:space="preserve">Goal</t>
  </si>
  <si>
    <t xml:space="preserve">Horizon</t>
  </si>
  <si>
    <t xml:space="preserve">Parent goal</t>
  </si>
  <si>
    <t xml:space="preserve">Due date</t>
  </si>
  <si>
    <t xml:space="preserve">Linked actions</t>
  </si>
  <si>
    <t xml:space="preserve">Hours invested</t>
  </si>
  <si>
    <t xml:space="preserve">Last action</t>
  </si>
  <si>
    <t xml:space="preserve">Devenir un data scientist reconnu au service de mon pays</t>
  </si>
  <si>
    <t xml:space="preserve">Vision</t>
  </si>
  <si>
    <t xml:space="preserve">Active</t>
  </si>
  <si>
    <t xml:space="preserve">Maîtriser le Machine Learning appliqué</t>
  </si>
  <si>
    <t xml:space="preserve">Long term</t>
  </si>
  <si>
    <t xml:space="preserve">Yearly</t>
  </si>
  <si>
    <t xml:space="preserve">Monthly</t>
  </si>
  <si>
    <t xml:space="preserve">Skills</t>
  </si>
  <si>
    <t xml:space="preserve">Self rating (latest self assessment) and observable evidence (hours and sessions in the period).</t>
  </si>
  <si>
    <t xml:space="preserve">Target level</t>
  </si>
  <si>
    <t xml:space="preserve">Latest self assessment</t>
  </si>
  <si>
    <t xml:space="preserve">First self assessment</t>
  </si>
  <si>
    <t xml:space="preserve">Self rating change</t>
  </si>
  <si>
    <t xml:space="preserve">Practice hours</t>
  </si>
  <si>
    <t xml:space="preserve">Sessions</t>
  </si>
  <si>
    <t xml:space="preserve">Sessions with a result</t>
  </si>
  <si>
    <t xml:space="preserve">Assessments</t>
  </si>
  <si>
    <t xml:space="preserve">Self assessment (out of 5)</t>
  </si>
  <si>
    <t xml:space="preserve">Objective score (out of 100)</t>
  </si>
  <si>
    <t xml:space="preserve">Evidence type</t>
  </si>
  <si>
    <t xml:space="preserve">Evidence</t>
  </si>
  <si>
    <t xml:space="preserve">Comment</t>
  </si>
  <si>
    <t xml:space="preserve">test</t>
  </si>
  <si>
    <t xml:space="preserve">Évaluation Machine Learning du mois</t>
  </si>
  <si>
    <t xml:space="preserve">exercice</t>
  </si>
  <si>
    <t xml:space="preserve">Évaluation Python du mois</t>
  </si>
  <si>
    <t xml:space="preserve">projet</t>
  </si>
  <si>
    <t xml:space="preserve">Évaluation Statistiques du mois</t>
  </si>
  <si>
    <t xml:space="preserve">Statistical analyses</t>
  </si>
  <si>
    <t xml:space="preserve">Values computed by PEI at export time. Statistical association observed in your data, which does not prove cause and effect.</t>
  </si>
  <si>
    <t xml:space="preserve">Trends over the last 3 weeks</t>
  </si>
  <si>
    <t xml:space="preserve">Comparison with the previous 3 weeks, Mann Whitney test (p).</t>
  </si>
  <si>
    <t xml:space="preserve">Indicator</t>
  </si>
  <si>
    <t xml:space="preserve">Direction</t>
  </si>
  <si>
    <t xml:space="preserve">Before</t>
  </si>
  <si>
    <t xml:space="preserve">Recent</t>
  </si>
  <si>
    <t xml:space="preserve">p</t>
  </si>
  <si>
    <t xml:space="preserve">Time spent on Statistics</t>
  </si>
  <si>
    <t xml:space="preserve">up</t>
  </si>
  <si>
    <t xml:space="preserve">Over the last 3 weeks, time spent on Statistics is going up (average 20.6 versus 1.9 over the previous 3 weeks).</t>
  </si>
  <si>
    <t xml:space="preserve">Time spent on Python</t>
  </si>
  <si>
    <t xml:space="preserve">Over the last 3 weeks, time spent on Python is going up (average 47.5 versus 11.5 over the previous 3 weeks).</t>
  </si>
  <si>
    <t xml:space="preserve">Associations between indicators</t>
  </si>
  <si>
    <t xml:space="preserve">Spearman correlation (rho), q = Benjamini Hochberg corrected p value.</t>
  </si>
  <si>
    <t xml:space="preserve">Variable 1</t>
  </si>
  <si>
    <t xml:space="preserve">Variable 2</t>
  </si>
  <si>
    <t xml:space="preserve">rho</t>
  </si>
  <si>
    <t xml:space="preserve">Days</t>
  </si>
  <si>
    <t xml:space="preserve">q</t>
  </si>
  <si>
    <t xml:space="preserve">moderate, clear</t>
  </si>
  <si>
    <t xml:space="preserve">Number of intentions</t>
  </si>
  <si>
    <t xml:space="preserve">weak, uncertain</t>
  </si>
  <si>
    <t xml:space="preserve">Minutes Studies</t>
  </si>
  <si>
    <t xml:space="preserve">Minutes Physical</t>
  </si>
  <si>
    <t xml:space="preserve">Minutes Spiritual</t>
  </si>
  <si>
    <t xml:space="preserve">Minutes Professional</t>
  </si>
  <si>
    <t xml:space="preserve">Unusual days</t>
  </si>
  <si>
    <t xml:space="preserve">Deviation from the 28 day rolling median, measured in robust deviations (MAD).</t>
  </si>
  <si>
    <t xml:space="preserve">Value</t>
  </si>
  <si>
    <t xml:space="preserve">Usual</t>
  </si>
  <si>
    <t xml:space="preserve">Robust deviation</t>
  </si>
  <si>
    <t xml:space="preserve">high</t>
  </si>
  <si>
    <t xml:space="preserve">Screen time (min)</t>
  </si>
  <si>
    <t xml:space="preserve">Number of intentions and completion</t>
  </si>
  <si>
    <t xml:space="preserve">Average completion rate by number of intentions set in the morning.</t>
  </si>
  <si>
    <t xml:space="preserve">Average rate</t>
  </si>
  <si>
    <t xml:space="preserve">1 to 3</t>
  </si>
  <si>
    <t xml:space="preserve">4</t>
  </si>
  <si>
    <t xml:space="preserve">5</t>
  </si>
  <si>
    <t xml:space="preserve">6 or more</t>
  </si>
  <si>
    <t xml:space="preserve">Recommendations</t>
  </si>
  <si>
    <t xml:space="preserve">Generated from the analyses above, with their caveat.</t>
  </si>
  <si>
    <t xml:space="preserve">Recommendation</t>
  </si>
  <si>
    <t xml:space="preserve">Message</t>
  </si>
  <si>
    <t xml:space="preserve">Caveat</t>
  </si>
  <si>
    <t xml:space="preserve">Fewer goals, more done</t>
  </si>
  <si>
    <t xml:space="preserve">Your data shows you complete your goals more often when you set 4 in the morning (57 % rate over 17 days).</t>
  </si>
  <si>
    <t xml:space="preserve">Statistical association observed in your data, which does not prove cause and effect.</t>
  </si>
  <si>
    <t xml:space="preserve">Time estimate: Python</t>
  </si>
  <si>
    <t xml:space="preserve">“Python” activities take on average 30 % more time than your initial estimate (120 min planned, 160.9 min actual, 13 observations).</t>
  </si>
  <si>
    <t xml:space="preserve">Estimate based on history, to adjust if the nature of the tasks changes.</t>
  </si>
  <si>
    <t xml:space="preserve">Time estimate: Scientific article</t>
  </si>
  <si>
    <t xml:space="preserve">“Scientific article” activities take on average 24 % more time than your initial estimate (45 min planned, 56 min actual, 8 observations).</t>
  </si>
  <si>
    <t xml:space="preserve">Trend: Time spent on Statistics</t>
  </si>
  <si>
    <t xml:space="preserve">Descriptive comparison between two consecutive periods.</t>
  </si>
  <si>
    <t xml:space="preserve">Trend: Time spent on Python</t>
  </si>
  <si>
    <t xml:space="preserve">Motivation and mood</t>
  </si>
  <si>
    <t xml:space="preserve">On days when motivation is higher, mood tends to be higher (moderate correlation, rho = 0.381, 82 days).</t>
  </si>
  <si>
    <t xml:space="preserve">Number of intentions and completion rate</t>
  </si>
  <si>
    <t xml:space="preserve">On days when number of intentions is higher, completion rate tends to be lower (moderate correlation, rho = -0.348, 80 days).</t>
  </si>
  <si>
    <t xml:space="preserve">Goal often dropped: Music</t>
  </si>
  <si>
    <t xml:space="preserve">“Music” is not done in 61 % of cases (11 of 18). Most cited reason: “fatigue”. A shorter format or another time of day could be tried.</t>
  </si>
  <si>
    <t xml:space="preserve">Suggestion to confirm with a personal experiment.</t>
  </si>
  <si>
    <t xml:space="preserve">Goal often dropped: Job applications</t>
  </si>
  <si>
    <t xml:space="preserve">“Job applications” is not done in 53 % of cases (9 of 17). Most cited reason: “fatigue”. A shorter format or another time of day could be tried.</t>
  </si>
  <si>
    <t xml:space="preserve">To catch up: 14/10</t>
  </si>
  <si>
    <t xml:space="preserve">Day 14/10/2026: empty day. 2 day(s) left to fill it in (until 18/10).</t>
  </si>
  <si>
    <t xml:space="preserve">After this delay, the day is locked.</t>
  </si>
  <si>
    <t xml:space="preserve">Relationship to nurture: Mentor</t>
  </si>
  <si>
    <t xml:space="preserve">Last contact 45 days ago (desired rhythm: every 30 days).</t>
  </si>
  <si>
    <t xml:space="preserve">Reminder based on your own desired rhythm.</t>
  </si>
  <si>
    <t xml:space="preserve">Decision</t>
  </si>
  <si>
    <t xml:space="preserve">Context</t>
  </si>
  <si>
    <t xml:space="preserve">Reasons</t>
  </si>
  <si>
    <t xml:space="preserve">Alternatives</t>
  </si>
  <si>
    <t xml:space="preserve">Choice</t>
  </si>
  <si>
    <t xml:space="preserve">Confidence (out of 5)</t>
  </si>
  <si>
    <t xml:space="preserve">Planned review</t>
  </si>
  <si>
    <t xml:space="preserve">Rating (out of 5)</t>
  </si>
  <si>
    <t xml:space="preserve">Lesson</t>
  </si>
  <si>
    <t xml:space="preserve">Me concentrer sur la data science plutôt que le web</t>
  </si>
  <si>
    <t xml:space="preserve">Deux pistes de spécialisation possibles.</t>
  </si>
  <si>
    <t xml:space="preserve">Goût pour les statistiques, demande croissante.</t>
  </si>
  <si>
    <t xml:space="preserve">Développement web</t>
  </si>
  <si>
    <t xml:space="preserve">Data science</t>
  </si>
  <si>
    <t xml:space="preserve">Deux projets publiés</t>
  </si>
  <si>
    <t xml:space="preserve">Choisir un domaine aligné avec ses forces accélère la progression.</t>
  </si>
  <si>
    <t xml:space="preserve">Réduire le nombre d'objectifs quotidiens à quatre</t>
  </si>
  <si>
    <t xml:space="preserve">Trop d'abandons les jours chargés</t>
  </si>
  <si>
    <t xml:space="preserve">Experiment</t>
  </si>
  <si>
    <t xml:space="preserve">Hypothesis</t>
  </si>
  <si>
    <t xml:space="preserve">Average before</t>
  </si>
  <si>
    <t xml:space="preserve">Average during</t>
  </si>
  <si>
    <t xml:space="preserve">Quatre objectifs maximum</t>
  </si>
  <si>
    <t xml:space="preserve">Je suis plus régulier lorsque je fixe au maximum quatre objectifs importants par jour.</t>
  </si>
  <si>
    <t xml:space="preserve">No clear difference for completion rate between the two periods (p = 0.281).</t>
  </si>
  <si>
    <t xml:space="preserve">Person</t>
  </si>
  <si>
    <t xml:space="preserve">Relationship</t>
  </si>
  <si>
    <t xml:space="preserve">Desired contact (days)</t>
  </si>
  <si>
    <t xml:space="preserve">Contacts</t>
  </si>
  <si>
    <t xml:space="preserve">Last contact</t>
  </si>
  <si>
    <t xml:space="preserve">Days since</t>
  </si>
  <si>
    <t xml:space="preserve">To restart</t>
  </si>
  <si>
    <t xml:space="preserve">Maman</t>
  </si>
  <si>
    <t xml:space="preserve">famille</t>
  </si>
  <si>
    <t xml:space="preserve">Mentor</t>
  </si>
  <si>
    <t xml:space="preserve">mentor</t>
  </si>
  <si>
    <t xml:space="preserve">File</t>
  </si>
  <si>
    <t xml:space="preserve">Legend</t>
  </si>
  <si>
    <t xml:space="preserve">Size (KB)</t>
  </si>
  <si>
    <t xml:space="preserve">Transcription</t>
  </si>
  <si>
    <t xml:space="preserve">Transcribed text</t>
  </si>
  <si>
    <t xml:space="preserve">SHA 256 fingerprint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</si>
</sst>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%"/>
    <numFmt numFmtId="167" formatCode="0.0"/>
    <numFmt numFmtId="168" formatCode="0.00"/>
    <numFmt numFmtId="169" formatCode="0%"/>
    <numFmt numFmtId="170" formatCode="dd/mm/yyyy"/>
    <numFmt numFmtId="171" formatCode="#,##0"/>
    <numFmt numFmtId="172" formatCode="\+0.0;\-0.0;0"/>
    <numFmt numFmtId="173" formatCode="0.0000"/>
    <numFmt numFmtId="174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6A4E"/>
      <name val="Arial"/>
      <family val="0"/>
      <charset val="1"/>
    </font>
    <font>
      <i val="true"/>
      <sz val="10"/>
      <color rgb="FF5B6A63"/>
      <name val="Arial"/>
      <family val="0"/>
      <charset val="1"/>
    </font>
    <font>
      <b val="true"/>
      <sz val="12"/>
      <color rgb="FF006A4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F6F2"/>
        <bgColor rgb="FFF9F9F9"/>
      </patternFill>
    </fill>
    <fill>
      <patternFill patternType="solid">
        <fgColor rgb="FF006A4E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FE6E0"/>
      </bottom>
      <diagonal/>
    </border>
    <border diagonalUp="false" diagonalDown="false">
      <left/>
      <right/>
      <top/>
      <bottom style="medium">
        <color rgb="FFFFCE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6A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D2103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A4E"/>
      <rgbColor rgb="FFC0C0C0"/>
      <rgbColor rgb="FF878787"/>
      <rgbColor rgb="FF9999FF"/>
      <rgbColor rgb="FF993366"/>
      <rgbColor rgb="FFF4F6F2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E6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E00"/>
      <rgbColor rgb="FFFF9900"/>
      <rgbColor rgb="FFFF6600"/>
      <rgbColor rgb="FF5B6A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Summary!B28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006a4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Summary!$A$29:$A$35</c:f>
              <c:strCache>
                <c:ptCount val="7"/>
                <c:pt idx="0">
                  <c:v>Spiritual</c:v>
                </c:pt>
                <c:pt idx="1">
                  <c:v>Physical</c:v>
                </c:pt>
                <c:pt idx="2">
                  <c:v>Studies</c:v>
                </c:pt>
                <c:pt idx="3">
                  <c:v>Professional</c:v>
                </c:pt>
                <c:pt idx="4">
                  <c:v>Personal</c:v>
                </c:pt>
                <c:pt idx="5">
                  <c:v>Relationships</c:v>
                </c:pt>
                <c:pt idx="6">
                  <c:v>Leisure and creativity</c:v>
                </c:pt>
              </c:strCache>
            </c:strRef>
          </c:cat>
          <c:val>
            <c:numRef>
              <c:f>Summary!$B$29:$B$35</c:f>
              <c:numCache>
                <c:formatCode>0.0</c:formatCode>
                <c:ptCount val="7"/>
                <c:pt idx="0">
                  <c:v>12.8666666666667</c:v>
                </c:pt>
                <c:pt idx="1">
                  <c:v>11.0333333333333</c:v>
                </c:pt>
                <c:pt idx="2">
                  <c:v>84.55</c:v>
                </c:pt>
                <c:pt idx="3">
                  <c:v>11.4833333333333</c:v>
                </c:pt>
                <c:pt idx="4">
                  <c:v>5.36666666666667</c:v>
                </c:pt>
                <c:pt idx="5">
                  <c:v>5.6</c:v>
                </c:pt>
                <c:pt idx="6">
                  <c:v>33.7333333333333</c:v>
                </c:pt>
              </c:numCache>
            </c:numRef>
          </c:val>
        </c:ser>
        <c:gapWidth val="150"/>
        <c:overlap val="0"/>
        <c:axId val="68747072"/>
        <c:axId val="95679834"/>
      </c:barChart>
      <c:catAx>
        <c:axId val="687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79834"/>
        <c:crosses val="autoZero"/>
        <c:auto val="1"/>
        <c:lblAlgn val="ctr"/>
        <c:lblOffset val="100"/>
        <c:noMultiLvlLbl val="0"/>
      </c:catAx>
      <c:valAx>
        <c:axId val="95679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470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Completion rate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Weekly!H1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d21034"/>
            </a:solidFill>
            <a:ln w="28080">
              <a:solidFill>
                <a:srgbClr val="d210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Weekly!$A$2:$A$15</c:f>
              <c:strCache>
                <c:ptCount val="14"/>
                <c:pt idx="0">
                  <c:v>13/07/2026</c:v>
                </c:pt>
                <c:pt idx="1">
                  <c:v>20/07/2026</c:v>
                </c:pt>
                <c:pt idx="2">
                  <c:v>27/07/2026</c:v>
                </c:pt>
                <c:pt idx="3">
                  <c:v>03/08/2026</c:v>
                </c:pt>
                <c:pt idx="4">
                  <c:v>10/08/2026</c:v>
                </c:pt>
                <c:pt idx="5">
                  <c:v>17/08/2026</c:v>
                </c:pt>
                <c:pt idx="6">
                  <c:v>24/08/2026</c:v>
                </c:pt>
                <c:pt idx="7">
                  <c:v>31/08/2026</c:v>
                </c:pt>
                <c:pt idx="8">
                  <c:v>07/09/2026</c:v>
                </c:pt>
                <c:pt idx="9">
                  <c:v>14/09/2026</c:v>
                </c:pt>
                <c:pt idx="10">
                  <c:v>21/09/2026</c:v>
                </c:pt>
                <c:pt idx="11">
                  <c:v>28/09/2026</c:v>
                </c:pt>
                <c:pt idx="12">
                  <c:v>05/10/2026</c:v>
                </c:pt>
                <c:pt idx="13">
                  <c:v>12/10/2026</c:v>
                </c:pt>
              </c:strCache>
            </c:strRef>
          </c:cat>
          <c:val>
            <c:numRef>
              <c:f>Weekly!$H$2:$H$15</c:f>
              <c:numCache>
                <c:formatCode>0.0%</c:formatCode>
                <c:ptCount val="14"/>
                <c:pt idx="0">
                  <c:v>1</c:v>
                </c:pt>
                <c:pt idx="1">
                  <c:v>0.53448275862069</c:v>
                </c:pt>
                <c:pt idx="2">
                  <c:v>0.275</c:v>
                </c:pt>
                <c:pt idx="3">
                  <c:v>0.516129032258065</c:v>
                </c:pt>
                <c:pt idx="4">
                  <c:v>0.45</c:v>
                </c:pt>
                <c:pt idx="5">
                  <c:v>0.388888888888889</c:v>
                </c:pt>
                <c:pt idx="6">
                  <c:v>0.4</c:v>
                </c:pt>
                <c:pt idx="7">
                  <c:v>0.461538461538462</c:v>
                </c:pt>
                <c:pt idx="8">
                  <c:v>0.304347826086957</c:v>
                </c:pt>
                <c:pt idx="9">
                  <c:v>0.454545454545455</c:v>
                </c:pt>
                <c:pt idx="10">
                  <c:v>0.5</c:v>
                </c:pt>
                <c:pt idx="11">
                  <c:v>0.455882352941176</c:v>
                </c:pt>
                <c:pt idx="12">
                  <c:v>0.458333333333333</c:v>
                </c:pt>
                <c:pt idx="13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590488"/>
        <c:axId val="75223287"/>
      </c:lineChart>
      <c:catAx>
        <c:axId val="27590488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23287"/>
        <c:crosses val="autoZero"/>
        <c:auto val="1"/>
        <c:lblAlgn val="ctr"/>
        <c:lblOffset val="100"/>
        <c:noMultiLvlLbl val="0"/>
      </c:catAx>
      <c:valAx>
        <c:axId val="752232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90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13</xdr:col>
      <xdr:colOff>87840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1102356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130680</xdr:rowOff>
    </xdr:from>
    <xdr:to>
      <xdr:col>13</xdr:col>
      <xdr:colOff>87840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11023560" y="3809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A4E"/>
    <pageSetUpPr fitToPage="tru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COUNTA(Daily!$A$2:$A$91)</f>
        <v>90</v>
      </c>
    </row>
    <row r="6" customFormat="false" ht="15" hidden="false" customHeight="false" outlineLevel="0" collapsed="false">
      <c r="A6" s="4" t="s">
        <v>4</v>
      </c>
      <c r="B6" s="5" t="n">
        <f aca="false">COUNTIFS(Daily!$C$2:$C$91,"Yes")</f>
        <v>82</v>
      </c>
    </row>
    <row r="7" customFormat="false" ht="15" hidden="false" customHeight="false" outlineLevel="0" collapsed="false">
      <c r="A7" s="4" t="s">
        <v>5</v>
      </c>
      <c r="B7" s="6" t="n">
        <f aca="false">IFERROR(B6/B5,0)</f>
        <v>0.911111111111111</v>
      </c>
    </row>
    <row r="8" customFormat="false" ht="15" hidden="false" customHeight="false" outlineLevel="0" collapsed="false">
      <c r="A8" s="4" t="s">
        <v>6</v>
      </c>
      <c r="B8" s="5" t="n">
        <f aca="false">COUNTA(Intentions!$A$2:$A$365)</f>
        <v>364</v>
      </c>
    </row>
    <row r="9" customFormat="false" ht="15" hidden="false" customHeight="false" outlineLevel="0" collapsed="false">
      <c r="A9" s="4" t="s">
        <v>7</v>
      </c>
      <c r="B9" s="5" t="n">
        <f aca="false">COUNTIFS(Intentions!$H$2:$H$365,"&lt;&gt;Planned",Intentions!$A$2:$A$365,"&lt;&gt;")</f>
        <v>353</v>
      </c>
    </row>
    <row r="10" customFormat="false" ht="15" hidden="false" customHeight="false" outlineLevel="0" collapsed="false">
      <c r="A10" s="4" t="s">
        <v>8</v>
      </c>
      <c r="B10" s="5" t="n">
        <f aca="false">COUNTIFS(Intentions!$H$2:$H$365,"Done")+COUNTIFS(Intentions!$H$2:$H$365,"Partial")</f>
        <v>168</v>
      </c>
    </row>
    <row r="11" customFormat="false" ht="15" hidden="false" customHeight="false" outlineLevel="0" collapsed="false">
      <c r="A11" s="4" t="s">
        <v>9</v>
      </c>
      <c r="B11" s="6" t="n">
        <f aca="false">IFERROR(SUM(Intentions!$K$2:$K$365)/B9,"")</f>
        <v>0.446175637393768</v>
      </c>
      <c r="C11" s="2" t="s">
        <v>10</v>
      </c>
    </row>
    <row r="12" customFormat="false" ht="15" hidden="false" customHeight="false" outlineLevel="0" collapsed="false">
      <c r="A12" s="4" t="s">
        <v>11</v>
      </c>
      <c r="B12" s="7" t="n">
        <f aca="false">SUM(Activities!$F$2:$F$190)/60</f>
        <v>164.633333333333</v>
      </c>
    </row>
    <row r="13" customFormat="false" ht="15" hidden="false" customHeight="false" outlineLevel="0" collapsed="false">
      <c r="A13" s="4" t="s">
        <v>12</v>
      </c>
      <c r="B13" s="7" t="n">
        <f aca="false">IFERROR(SUM(Activities!$F$2:$F$190)/B6,"")</f>
        <v>120.463414634146</v>
      </c>
    </row>
    <row r="14" customFormat="false" ht="15" hidden="false" customHeight="false" outlineLevel="0" collapsed="false">
      <c r="A14" s="4" t="s">
        <v>13</v>
      </c>
      <c r="B14" s="7" t="n">
        <f aca="false">IFERROR(AVERAGE(Intentions!$J$2:$J$365),"")</f>
        <v>5.01785714285714</v>
      </c>
    </row>
    <row r="15" customFormat="false" ht="15" hidden="false" customHeight="false" outlineLevel="0" collapsed="false">
      <c r="A15" s="4" t="s">
        <v>14</v>
      </c>
      <c r="B15" s="7" t="n">
        <f aca="false">IFERROR(AVERAGE(Daily!$Q$2:$Q$91),"")</f>
        <v>6.95365853658537</v>
      </c>
    </row>
    <row r="16" customFormat="false" ht="15" hidden="false" customHeight="false" outlineLevel="0" collapsed="false">
      <c r="A16" s="4" t="s">
        <v>15</v>
      </c>
      <c r="B16" s="8" t="n">
        <f aca="false">IFERROR(AVERAGE(Daily!$S$2:$S$91),"")</f>
        <v>3.03658536585366</v>
      </c>
    </row>
    <row r="17" customFormat="false" ht="15" hidden="false" customHeight="false" outlineLevel="0" collapsed="false">
      <c r="A17" s="4" t="s">
        <v>16</v>
      </c>
      <c r="B17" s="8" t="n">
        <f aca="false">IFERROR(AVERAGE(Daily!$U$2:$U$91),"")</f>
        <v>3.21951219512195</v>
      </c>
    </row>
    <row r="18" customFormat="false" ht="15" hidden="false" customHeight="false" outlineLevel="0" collapsed="false">
      <c r="A18" s="4" t="s">
        <v>17</v>
      </c>
      <c r="B18" s="5" t="n">
        <f aca="false">COUNTA(Reflections!$D$2:$D$70)</f>
        <v>69</v>
      </c>
    </row>
    <row r="19" customFormat="false" ht="15" hidden="false" customHeight="false" outlineLevel="0" collapsed="false">
      <c r="A19" s="4" t="s">
        <v>18</v>
      </c>
      <c r="B19" s="7" t="n">
        <f aca="false">MAX(Weekly!$I$2:$I$15)</f>
        <v>20.7333333333333</v>
      </c>
    </row>
    <row r="20" customFormat="false" ht="15" hidden="false" customHeight="false" outlineLevel="0" collapsed="false">
      <c r="A20" s="4" t="s">
        <v>19</v>
      </c>
      <c r="B20" s="5" t="n">
        <f aca="false">COUNTIFS(Daily!$AA$2:$AA$91,"Filled in the same day")</f>
        <v>72</v>
      </c>
    </row>
    <row r="21" customFormat="false" ht="15" hidden="false" customHeight="false" outlineLevel="0" collapsed="false">
      <c r="A21" s="4" t="s">
        <v>20</v>
      </c>
      <c r="B21" s="5" t="n">
        <f aca="false">COUNTIFS(Daily!$AA$2:$AA$91,"Caught up later")</f>
        <v>9</v>
      </c>
    </row>
    <row r="22" customFormat="false" ht="15" hidden="false" customHeight="false" outlineLevel="0" collapsed="false">
      <c r="A22" s="4" t="s">
        <v>21</v>
      </c>
      <c r="B22" s="5" t="n">
        <f aca="false">COUNTIFS(Daily!$AA$2:$AA$91,"Forgotten (locked)")</f>
        <v>7</v>
      </c>
    </row>
    <row r="23" customFormat="false" ht="15" hidden="false" customHeight="false" outlineLevel="0" collapsed="false">
      <c r="A23" s="4" t="s">
        <v>22</v>
      </c>
      <c r="B23" s="6" t="n">
        <f aca="false">IFERROR((B21+B22)/(B20+B21+B22),"")</f>
        <v>0.181818181818182</v>
      </c>
    </row>
    <row r="24" customFormat="false" ht="15" hidden="false" customHeight="false" outlineLevel="0" collapsed="false">
      <c r="A24" s="4" t="s">
        <v>23</v>
      </c>
      <c r="B24" s="7" t="n">
        <f aca="false">IFERROR(AVERAGEIFS(Daily!$AB$2:$AB$91,Daily!$AA$2:$AA$91,"Caught up later"),"")</f>
        <v>2.22222222222222</v>
      </c>
    </row>
    <row r="27" customFormat="false" ht="15" hidden="false" customHeight="false" outlineLevel="0" collapsed="false">
      <c r="A27" s="3" t="s">
        <v>24</v>
      </c>
    </row>
    <row r="28" customFormat="false" ht="30" hidden="false" customHeight="true" outlineLevel="0" collapsed="false">
      <c r="A28" s="9" t="s">
        <v>25</v>
      </c>
      <c r="B28" s="9" t="s">
        <v>26</v>
      </c>
      <c r="C28" s="9" t="s">
        <v>27</v>
      </c>
      <c r="D28" s="9" t="s">
        <v>9</v>
      </c>
      <c r="E28" s="9" t="s">
        <v>28</v>
      </c>
    </row>
    <row r="29" customFormat="false" ht="15" hidden="false" customHeight="false" outlineLevel="0" collapsed="false">
      <c r="A29" s="4" t="s">
        <v>29</v>
      </c>
      <c r="B29" s="10" t="n">
        <f aca="false">SUMIFS(Activities!$F$2:$F$190,Activities!$C$2:$C$190,$A29)/60</f>
        <v>12.8666666666667</v>
      </c>
      <c r="C29" s="11" t="n">
        <f aca="false">COUNTIFS(Intentions!$C$2:$C$365,$A29)</f>
        <v>60</v>
      </c>
      <c r="D29" s="12" t="n">
        <f aca="false">IFERROR(SUMIFS(Intentions!$K$2:$K$365,Intentions!$C$2:$C$365,$A29)/COUNTIFS(Intentions!$C$2:$C$365,$A29,Intentions!$H$2:$H$365,"&lt;&gt;Planned"),"")</f>
        <v>0.694915254237288</v>
      </c>
      <c r="E29" s="12" t="n">
        <f aca="false">IFERROR(B29/$B$12,"")</f>
        <v>0.0781534723628265</v>
      </c>
    </row>
    <row r="30" customFormat="false" ht="15" hidden="false" customHeight="false" outlineLevel="0" collapsed="false">
      <c r="A30" s="4" t="s">
        <v>30</v>
      </c>
      <c r="B30" s="10" t="n">
        <f aca="false">SUMIFS(Activities!$F$2:$F$190,Activities!$C$2:$C$190,$A30)/60</f>
        <v>11.0333333333333</v>
      </c>
      <c r="C30" s="11" t="n">
        <f aca="false">COUNTIFS(Intentions!$C$2:$C$365,$A30)</f>
        <v>53</v>
      </c>
      <c r="D30" s="12" t="n">
        <f aca="false">IFERROR(SUMIFS(Intentions!$K$2:$K$365,Intentions!$C$2:$C$365,$A30)/COUNTIFS(Intentions!$C$2:$C$365,$A30,Intentions!$H$2:$H$365,"&lt;&gt;Planned"),"")</f>
        <v>0.382352941176471</v>
      </c>
      <c r="E30" s="12" t="n">
        <f aca="false">IFERROR(B30/$B$12,"")</f>
        <v>0.067017614901802</v>
      </c>
    </row>
    <row r="31" customFormat="false" ht="15" hidden="false" customHeight="false" outlineLevel="0" collapsed="false">
      <c r="A31" s="4" t="s">
        <v>31</v>
      </c>
      <c r="B31" s="10" t="n">
        <f aca="false">SUMIFS(Activities!$F$2:$F$190,Activities!$C$2:$C$190,$A31)/60</f>
        <v>84.55</v>
      </c>
      <c r="C31" s="11" t="n">
        <f aca="false">COUNTIFS(Intentions!$C$2:$C$365,$A31)</f>
        <v>138</v>
      </c>
      <c r="D31" s="12" t="n">
        <f aca="false">IFERROR(SUMIFS(Intentions!$K$2:$K$365,Intentions!$C$2:$C$365,$A31)/COUNTIFS(Intentions!$C$2:$C$365,$A31,Intentions!$H$2:$H$365,"&lt;&gt;Planned"),"")</f>
        <v>0.411111111111111</v>
      </c>
      <c r="E31" s="12" t="n">
        <f aca="false">IFERROR(B31/$B$12,"")</f>
        <v>0.513565499088884</v>
      </c>
    </row>
    <row r="32" customFormat="false" ht="15" hidden="false" customHeight="false" outlineLevel="0" collapsed="false">
      <c r="A32" s="4" t="s">
        <v>32</v>
      </c>
      <c r="B32" s="10" t="n">
        <f aca="false">SUMIFS(Activities!$F$2:$F$190,Activities!$C$2:$C$190,$A32)/60</f>
        <v>11.4833333333333</v>
      </c>
      <c r="C32" s="11" t="n">
        <f aca="false">COUNTIFS(Intentions!$C$2:$C$365,$A32)</f>
        <v>44</v>
      </c>
      <c r="D32" s="12" t="n">
        <f aca="false">IFERROR(SUMIFS(Intentions!$K$2:$K$365,Intentions!$C$2:$C$365,$A32)/COUNTIFS(Intentions!$C$2:$C$365,$A32,Intentions!$H$2:$H$365,"&lt;&gt;Planned"),"")</f>
        <v>0.232558139534884</v>
      </c>
      <c r="E32" s="12" t="n">
        <f aca="false">IFERROR(B32/$B$12,"")</f>
        <v>0.0697509617331444</v>
      </c>
    </row>
    <row r="33" customFormat="false" ht="15" hidden="false" customHeight="false" outlineLevel="0" collapsed="false">
      <c r="A33" s="4" t="s">
        <v>33</v>
      </c>
      <c r="B33" s="10" t="n">
        <f aca="false">SUMIFS(Activities!$F$2:$F$190,Activities!$C$2:$C$190,$A33)/60</f>
        <v>5.36666666666667</v>
      </c>
      <c r="C33" s="11" t="n">
        <f aca="false">COUNTIFS(Intentions!$C$2:$C$365,$A33)</f>
        <v>26</v>
      </c>
      <c r="D33" s="12" t="n">
        <f aca="false">IFERROR(SUMIFS(Intentions!$K$2:$K$365,Intentions!$C$2:$C$365,$A33)/COUNTIFS(Intentions!$C$2:$C$365,$A33,Intentions!$H$2:$H$365,"&lt;&gt;Planned"),"")</f>
        <v>0.520833333333333</v>
      </c>
      <c r="E33" s="12" t="n">
        <f aca="false">IFERROR(B33/$B$12,"")</f>
        <v>0.0325976918404535</v>
      </c>
    </row>
    <row r="34" customFormat="false" ht="15" hidden="false" customHeight="false" outlineLevel="0" collapsed="false">
      <c r="A34" s="4" t="s">
        <v>34</v>
      </c>
      <c r="B34" s="10" t="n">
        <f aca="false">SUMIFS(Activities!$F$2:$F$190,Activities!$C$2:$C$190,$A34)/60</f>
        <v>5.6</v>
      </c>
      <c r="C34" s="11" t="n">
        <f aca="false">COUNTIFS(Intentions!$C$2:$C$365,$A34)</f>
        <v>25</v>
      </c>
      <c r="D34" s="12" t="n">
        <f aca="false">IFERROR(SUMIFS(Intentions!$K$2:$K$365,Intentions!$C$2:$C$365,$A34)/COUNTIFS(Intentions!$C$2:$C$365,$A34,Intentions!$H$2:$H$365,"&lt;&gt;Planned"),"")</f>
        <v>0.630434782608696</v>
      </c>
      <c r="E34" s="12" t="n">
        <f aca="false">IFERROR(B34/$B$12,"")</f>
        <v>0.0340149827900385</v>
      </c>
    </row>
    <row r="35" customFormat="false" ht="15" hidden="false" customHeight="false" outlineLevel="0" collapsed="false">
      <c r="A35" s="4" t="s">
        <v>35</v>
      </c>
      <c r="B35" s="10" t="n">
        <f aca="false">SUMIFS(Activities!$F$2:$F$190,Activities!$C$2:$C$190,$A35)/60</f>
        <v>33.7333333333333</v>
      </c>
      <c r="C35" s="11" t="n">
        <f aca="false">COUNTIFS(Intentions!$C$2:$C$365,$A35)</f>
        <v>18</v>
      </c>
      <c r="D35" s="12" t="n">
        <f aca="false">IFERROR(SUMIFS(Intentions!$K$2:$K$365,Intentions!$C$2:$C$365,$A35)/COUNTIFS(Intentions!$C$2:$C$365,$A35,Intentions!$H$2:$H$365,"&lt;&gt;Planned"),"")</f>
        <v>0.25</v>
      </c>
      <c r="E35" s="12" t="n">
        <f aca="false">IFERROR(B35/$B$12,"")</f>
        <v>0.204899777282851</v>
      </c>
    </row>
    <row r="38" customFormat="false" ht="15" hidden="false" customHeight="false" outlineLevel="0" collapsed="false">
      <c r="A38" s="3" t="s">
        <v>36</v>
      </c>
    </row>
    <row r="39" customFormat="false" ht="15" hidden="false" customHeight="false" outlineLevel="0" collapsed="false">
      <c r="A39" s="13" t="s">
        <v>37</v>
      </c>
      <c r="B39" s="14" t="s">
        <v>38</v>
      </c>
    </row>
    <row r="40" customFormat="false" ht="15" hidden="false" customHeight="false" outlineLevel="0" collapsed="false">
      <c r="A40" s="13" t="s">
        <v>39</v>
      </c>
      <c r="B40" s="14" t="s">
        <v>40</v>
      </c>
    </row>
    <row r="41" customFormat="false" ht="15" hidden="false" customHeight="false" outlineLevel="0" collapsed="false">
      <c r="A41" s="13" t="s">
        <v>41</v>
      </c>
      <c r="B41" s="14" t="s">
        <v>42</v>
      </c>
    </row>
    <row r="42" customFormat="false" ht="15" hidden="false" customHeight="false" outlineLevel="0" collapsed="false">
      <c r="A42" s="13" t="s">
        <v>43</v>
      </c>
      <c r="B42" s="14" t="s">
        <v>44</v>
      </c>
    </row>
    <row r="43" customFormat="false" ht="15" hidden="false" customHeight="false" outlineLevel="0" collapsed="false">
      <c r="A43" s="13" t="s">
        <v>45</v>
      </c>
      <c r="B43" s="14" t="s">
        <v>46</v>
      </c>
    </row>
    <row r="44" customFormat="false" ht="15" hidden="false" customHeight="false" outlineLevel="0" collapsed="false">
      <c r="A44" s="13" t="s">
        <v>47</v>
      </c>
      <c r="B44" s="14" t="s">
        <v>48</v>
      </c>
    </row>
    <row r="45" customFormat="false" ht="15" hidden="false" customHeight="false" outlineLevel="0" collapsed="false">
      <c r="A45" s="13" t="s">
        <v>49</v>
      </c>
      <c r="B45" s="1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E00"/>
    <pageSetUpPr fitToPage="false"/>
  </sheetPr>
  <dimension ref="A1:A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6" min="3" style="0" width="10"/>
    <col collapsed="false" customWidth="true" hidden="false" outlineLevel="0" max="16" min="7" style="0" width="12"/>
    <col collapsed="false" customWidth="true" hidden="false" outlineLevel="0" max="18" min="17" style="0" width="10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2" min="21" style="0" width="9"/>
    <col collapsed="false" customWidth="true" hidden="false" outlineLevel="0" max="24" min="23" style="0" width="10"/>
    <col collapsed="false" customWidth="true" hidden="false" outlineLevel="0" max="25" min="25" style="0" width="9"/>
    <col collapsed="false" customWidth="true" hidden="false" outlineLevel="0" max="26" min="26" style="0" width="10"/>
    <col collapsed="false" customWidth="true" hidden="false" outlineLevel="0" max="27" min="27" style="0" width="22"/>
    <col collapsed="false" customWidth="true" hidden="false" outlineLevel="0" max="28" min="28" style="0" width="11"/>
    <col collapsed="false" customWidth="true" hidden="false" outlineLevel="0" max="29" min="29" style="0" width="40"/>
  </cols>
  <sheetData>
    <row r="1" customFormat="false" ht="30" hidden="false" customHeight="true" outlineLevel="0" collapsed="false">
      <c r="A1" s="9" t="s">
        <v>51</v>
      </c>
      <c r="B1" s="9" t="s">
        <v>52</v>
      </c>
      <c r="C1" s="9" t="s">
        <v>53</v>
      </c>
      <c r="D1" s="9" t="s">
        <v>27</v>
      </c>
      <c r="E1" s="9" t="s">
        <v>54</v>
      </c>
      <c r="F1" s="9" t="s">
        <v>55</v>
      </c>
      <c r="G1" s="9" t="s">
        <v>9</v>
      </c>
      <c r="H1" s="9" t="s">
        <v>56</v>
      </c>
      <c r="I1" s="9" t="s">
        <v>57</v>
      </c>
      <c r="J1" s="9" t="s">
        <v>58</v>
      </c>
      <c r="K1" s="9" t="s">
        <v>59</v>
      </c>
      <c r="L1" s="9" t="s">
        <v>60</v>
      </c>
      <c r="M1" s="9" t="s">
        <v>61</v>
      </c>
      <c r="N1" s="9" t="s">
        <v>62</v>
      </c>
      <c r="O1" s="9" t="s">
        <v>63</v>
      </c>
      <c r="P1" s="9" t="s">
        <v>64</v>
      </c>
      <c r="Q1" s="9" t="s">
        <v>65</v>
      </c>
      <c r="R1" s="9" t="s">
        <v>66</v>
      </c>
      <c r="S1" s="9" t="s">
        <v>67</v>
      </c>
      <c r="T1" s="9" t="s">
        <v>68</v>
      </c>
      <c r="U1" s="9" t="s">
        <v>69</v>
      </c>
      <c r="V1" s="9" t="s">
        <v>70</v>
      </c>
      <c r="W1" s="9" t="s">
        <v>71</v>
      </c>
      <c r="X1" s="9" t="s">
        <v>72</v>
      </c>
      <c r="Y1" s="9" t="s">
        <v>73</v>
      </c>
      <c r="Z1" s="9" t="s">
        <v>74</v>
      </c>
      <c r="AA1" s="9" t="s">
        <v>75</v>
      </c>
      <c r="AB1" s="9" t="s">
        <v>76</v>
      </c>
      <c r="AC1" s="9" t="s">
        <v>77</v>
      </c>
    </row>
    <row r="2" customFormat="false" ht="15" hidden="false" customHeight="false" outlineLevel="0" collapsed="false">
      <c r="A2" s="15" t="n">
        <v>46222</v>
      </c>
      <c r="B2" s="4" t="str">
        <f aca="false">INDEX({"Monday","Tuesday","Wednesday","Thursday","Friday","Saturday","Sunday"},WEEKDAY($A2,2))</f>
        <v>Sunday</v>
      </c>
      <c r="C2" s="4" t="s">
        <v>78</v>
      </c>
      <c r="D2" s="11" t="n">
        <f aca="false">COUNTIFS(Intentions!$B$2:$B$365,$A2)</f>
        <v>2</v>
      </c>
      <c r="E2" s="11" t="n">
        <f aca="false">COUNTIFS(Intentions!$B$2:$B$365,$A2,Intentions!$H$2:$H$365,"&lt;&gt;Planned")</f>
        <v>2</v>
      </c>
      <c r="F2" s="11" t="n">
        <f aca="false">COUNTIFS(Intentions!$B$2:$B$365,$A2,Intentions!$H$2:$H$365,"Done")+COUNTIFS(Intentions!$B$2:$B$365,$A2,Intentions!$H$2:$H$365,"Partial")</f>
        <v>2</v>
      </c>
      <c r="G2" s="12" t="n">
        <f aca="false">IF(E2=0,"",SUMIFS(Intentions!$K$2:$K$365,Intentions!$B$2:$B$365,$A2)/E2)</f>
        <v>1</v>
      </c>
      <c r="H2" s="11" t="n">
        <f aca="false">SUMIFS(Intentions!$G$2:$G$365,Intentions!$B$2:$B$365,$A2)</f>
        <v>75</v>
      </c>
      <c r="I2" s="11" t="n">
        <f aca="false">SUMIFS(Activities!$F$2:$F$190,Activities!$B$2:$B$190,$A2)</f>
        <v>217</v>
      </c>
      <c r="J2" s="11" t="n">
        <f aca="false">SUMIFS(Activities!$F$2:$F$190,Activities!$B$2:$B$190,$A2,Activities!$C$2:$C$190,"Spiritual")</f>
        <v>21</v>
      </c>
      <c r="K2" s="11" t="n">
        <f aca="false">SUMIFS(Activities!$F$2:$F$190,Activities!$B$2:$B$190,$A2,Activities!$C$2:$C$190,"Physical")</f>
        <v>0</v>
      </c>
      <c r="L2" s="11" t="n">
        <f aca="false">SUMIFS(Activities!$F$2:$F$190,Activities!$B$2:$B$190,$A2,Activities!$C$2:$C$190,"Studies")</f>
        <v>106</v>
      </c>
      <c r="M2" s="11" t="n">
        <f aca="false">SUMIFS(Activities!$F$2:$F$190,Activities!$B$2:$B$190,$A2,Activities!$C$2:$C$190,"Professional")</f>
        <v>0</v>
      </c>
      <c r="N2" s="11" t="n">
        <f aca="false">SUMIFS(Activities!$F$2:$F$190,Activities!$B$2:$B$190,$A2,Activities!$C$2:$C$190,"Personal")</f>
        <v>0</v>
      </c>
      <c r="O2" s="11" t="n">
        <f aca="false">SUMIFS(Activities!$F$2:$F$190,Activities!$B$2:$B$190,$A2,Activities!$C$2:$C$190,"Relationships")</f>
        <v>0</v>
      </c>
      <c r="P2" s="11" t="n">
        <f aca="false">SUMIFS(Activities!$F$2:$F$190,Activities!$B$2:$B$190,$A2,Activities!$C$2:$C$190,"Leisure and creativity")</f>
        <v>90</v>
      </c>
      <c r="Q2" s="10" t="n">
        <v>7.8</v>
      </c>
      <c r="R2" s="11"/>
      <c r="S2" s="11" t="n">
        <v>4</v>
      </c>
      <c r="T2" s="11" t="n">
        <v>4</v>
      </c>
      <c r="U2" s="11" t="n">
        <v>5</v>
      </c>
      <c r="V2" s="11" t="n">
        <v>4</v>
      </c>
      <c r="W2" s="11" t="n">
        <v>153</v>
      </c>
      <c r="X2" s="16" t="n">
        <v>1773</v>
      </c>
      <c r="Y2" s="10" t="n">
        <v>2.2</v>
      </c>
      <c r="Z2" s="11" t="n">
        <f aca="false">COUNTIFS(Reflections!$A$2:$A$70,$A2)</f>
        <v>1</v>
      </c>
      <c r="AA2" s="4" t="s">
        <v>79</v>
      </c>
      <c r="AB2" s="11" t="n">
        <v>3</v>
      </c>
      <c r="AC2" s="17"/>
    </row>
    <row r="3" customFormat="false" ht="15" hidden="false" customHeight="false" outlineLevel="0" collapsed="false">
      <c r="A3" s="15" t="n">
        <v>46223</v>
      </c>
      <c r="B3" s="4" t="str">
        <f aca="false">INDEX({"Monday","Tuesday","Wednesday","Thursday","Friday","Saturday","Sunday"},WEEKDAY($A3,2))</f>
        <v>Monday</v>
      </c>
      <c r="C3" s="4" t="s">
        <v>78</v>
      </c>
      <c r="D3" s="11" t="n">
        <f aca="false">COUNTIFS(Intentions!$B$2:$B$365,$A3)</f>
        <v>2</v>
      </c>
      <c r="E3" s="11" t="n">
        <f aca="false">COUNTIFS(Intentions!$B$2:$B$365,$A3,Intentions!$H$2:$H$365,"&lt;&gt;Planned")</f>
        <v>2</v>
      </c>
      <c r="F3" s="11" t="n">
        <f aca="false">COUNTIFS(Intentions!$B$2:$B$365,$A3,Intentions!$H$2:$H$365,"Done")+COUNTIFS(Intentions!$B$2:$B$365,$A3,Intentions!$H$2:$H$365,"Partial")</f>
        <v>1</v>
      </c>
      <c r="G3" s="12" t="n">
        <f aca="false">IF(E3=0,"",SUMIFS(Intentions!$K$2:$K$365,Intentions!$B$2:$B$365,$A3)/E3)</f>
        <v>0.5</v>
      </c>
      <c r="H3" s="11" t="n">
        <f aca="false">SUMIFS(Intentions!$G$2:$G$365,Intentions!$B$2:$B$365,$A3)</f>
        <v>60</v>
      </c>
      <c r="I3" s="11" t="n">
        <f aca="false">SUMIFS(Activities!$F$2:$F$190,Activities!$B$2:$B$190,$A3)</f>
        <v>41</v>
      </c>
      <c r="J3" s="11" t="n">
        <f aca="false">SUMIFS(Activities!$F$2:$F$190,Activities!$B$2:$B$190,$A3,Activities!$C$2:$C$190,"Spiritual")</f>
        <v>0</v>
      </c>
      <c r="K3" s="11" t="n">
        <f aca="false">SUMIFS(Activities!$F$2:$F$190,Activities!$B$2:$B$190,$A3,Activities!$C$2:$C$190,"Physical")</f>
        <v>41</v>
      </c>
      <c r="L3" s="11" t="n">
        <f aca="false">SUMIFS(Activities!$F$2:$F$190,Activities!$B$2:$B$190,$A3,Activities!$C$2:$C$190,"Studies")</f>
        <v>0</v>
      </c>
      <c r="M3" s="11" t="n">
        <f aca="false">SUMIFS(Activities!$F$2:$F$190,Activities!$B$2:$B$190,$A3,Activities!$C$2:$C$190,"Professional")</f>
        <v>0</v>
      </c>
      <c r="N3" s="11" t="n">
        <f aca="false">SUMIFS(Activities!$F$2:$F$190,Activities!$B$2:$B$190,$A3,Activities!$C$2:$C$190,"Personal")</f>
        <v>0</v>
      </c>
      <c r="O3" s="11" t="n">
        <f aca="false">SUMIFS(Activities!$F$2:$F$190,Activities!$B$2:$B$190,$A3,Activities!$C$2:$C$190,"Relationships")</f>
        <v>0</v>
      </c>
      <c r="P3" s="11" t="n">
        <f aca="false">SUMIFS(Activities!$F$2:$F$190,Activities!$B$2:$B$190,$A3,Activities!$C$2:$C$190,"Leisure and creativity")</f>
        <v>0</v>
      </c>
      <c r="Q3" s="10" t="n">
        <v>8</v>
      </c>
      <c r="R3" s="11"/>
      <c r="S3" s="11" t="n">
        <v>4</v>
      </c>
      <c r="T3" s="11" t="n">
        <v>3</v>
      </c>
      <c r="U3" s="11" t="n">
        <v>3</v>
      </c>
      <c r="V3" s="11" t="n">
        <v>2</v>
      </c>
      <c r="W3" s="11" t="n">
        <v>122</v>
      </c>
      <c r="X3" s="16" t="n">
        <v>3129</v>
      </c>
      <c r="Y3" s="10" t="n">
        <v>1.2</v>
      </c>
      <c r="Z3" s="11" t="n">
        <f aca="false">COUNTIFS(Reflections!$A$2:$A$70,$A3)</f>
        <v>2</v>
      </c>
      <c r="AA3" s="4" t="s">
        <v>80</v>
      </c>
      <c r="AB3" s="11" t="n">
        <v>0</v>
      </c>
      <c r="AC3" s="17"/>
    </row>
    <row r="4" customFormat="false" ht="15" hidden="false" customHeight="false" outlineLevel="0" collapsed="false">
      <c r="A4" s="15" t="n">
        <v>46224</v>
      </c>
      <c r="B4" s="4" t="str">
        <f aca="false">INDEX({"Monday","Tuesday","Wednesday","Thursday","Friday","Saturday","Sunday"},WEEKDAY($A4,2))</f>
        <v>Tuesday</v>
      </c>
      <c r="C4" s="4" t="s">
        <v>78</v>
      </c>
      <c r="D4" s="11" t="n">
        <f aca="false">COUNTIFS(Intentions!$B$2:$B$365,$A4)</f>
        <v>4</v>
      </c>
      <c r="E4" s="11" t="n">
        <f aca="false">COUNTIFS(Intentions!$B$2:$B$365,$A4,Intentions!$H$2:$H$365,"&lt;&gt;Planned")</f>
        <v>4</v>
      </c>
      <c r="F4" s="11" t="n">
        <f aca="false">COUNTIFS(Intentions!$B$2:$B$365,$A4,Intentions!$H$2:$H$365,"Done")+COUNTIFS(Intentions!$B$2:$B$365,$A4,Intentions!$H$2:$H$365,"Partial")</f>
        <v>4</v>
      </c>
      <c r="G4" s="12" t="n">
        <f aca="false">IF(E4=0,"",SUMIFS(Intentions!$K$2:$K$365,Intentions!$B$2:$B$365,$A4)/E4)</f>
        <v>1</v>
      </c>
      <c r="H4" s="11" t="n">
        <f aca="false">SUMIFS(Intentions!$G$2:$G$365,Intentions!$B$2:$B$365,$A4)</f>
        <v>245</v>
      </c>
      <c r="I4" s="11" t="n">
        <f aca="false">SUMIFS(Activities!$F$2:$F$190,Activities!$B$2:$B$190,$A4)</f>
        <v>284</v>
      </c>
      <c r="J4" s="11" t="n">
        <f aca="false">SUMIFS(Activities!$F$2:$F$190,Activities!$B$2:$B$190,$A4,Activities!$C$2:$C$190,"Spiritual")</f>
        <v>16</v>
      </c>
      <c r="K4" s="11" t="n">
        <f aca="false">SUMIFS(Activities!$F$2:$F$190,Activities!$B$2:$B$190,$A4,Activities!$C$2:$C$190,"Physical")</f>
        <v>0</v>
      </c>
      <c r="L4" s="11" t="n">
        <f aca="false">SUMIFS(Activities!$F$2:$F$190,Activities!$B$2:$B$190,$A4,Activities!$C$2:$C$190,"Studies")</f>
        <v>268</v>
      </c>
      <c r="M4" s="11" t="n">
        <f aca="false">SUMIFS(Activities!$F$2:$F$190,Activities!$B$2:$B$190,$A4,Activities!$C$2:$C$190,"Professional")</f>
        <v>0</v>
      </c>
      <c r="N4" s="11" t="n">
        <f aca="false">SUMIFS(Activities!$F$2:$F$190,Activities!$B$2:$B$190,$A4,Activities!$C$2:$C$190,"Personal")</f>
        <v>0</v>
      </c>
      <c r="O4" s="11" t="n">
        <f aca="false">SUMIFS(Activities!$F$2:$F$190,Activities!$B$2:$B$190,$A4,Activities!$C$2:$C$190,"Relationships")</f>
        <v>0</v>
      </c>
      <c r="P4" s="11" t="n">
        <f aca="false">SUMIFS(Activities!$F$2:$F$190,Activities!$B$2:$B$190,$A4,Activities!$C$2:$C$190,"Leisure and creativity")</f>
        <v>0</v>
      </c>
      <c r="Q4" s="10" t="n">
        <v>7.5</v>
      </c>
      <c r="R4" s="11"/>
      <c r="S4" s="11" t="n">
        <v>4</v>
      </c>
      <c r="T4" s="11" t="n">
        <v>5</v>
      </c>
      <c r="U4" s="11" t="n">
        <v>3</v>
      </c>
      <c r="V4" s="11" t="n">
        <v>3</v>
      </c>
      <c r="W4" s="11" t="n">
        <v>124</v>
      </c>
      <c r="X4" s="16" t="n">
        <v>5169</v>
      </c>
      <c r="Y4" s="10" t="n">
        <v>2.2</v>
      </c>
      <c r="Z4" s="11" t="n">
        <f aca="false">COUNTIFS(Reflections!$A$2:$A$70,$A4)</f>
        <v>1</v>
      </c>
      <c r="AA4" s="4" t="s">
        <v>80</v>
      </c>
      <c r="AB4" s="11" t="n">
        <v>0</v>
      </c>
      <c r="AC4" s="17"/>
    </row>
    <row r="5" customFormat="false" ht="15" hidden="false" customHeight="false" outlineLevel="0" collapsed="false">
      <c r="A5" s="15" t="n">
        <v>46225</v>
      </c>
      <c r="B5" s="4" t="str">
        <f aca="false">INDEX({"Monday","Tuesday","Wednesday","Thursday","Friday","Saturday","Sunday"},WEEKDAY($A5,2))</f>
        <v>Wednesday</v>
      </c>
      <c r="C5" s="4" t="s">
        <v>78</v>
      </c>
      <c r="D5" s="11" t="n">
        <f aca="false">COUNTIFS(Intentions!$B$2:$B$365,$A5)</f>
        <v>4</v>
      </c>
      <c r="E5" s="11" t="n">
        <f aca="false">COUNTIFS(Intentions!$B$2:$B$365,$A5,Intentions!$H$2:$H$365,"&lt;&gt;Planned")</f>
        <v>4</v>
      </c>
      <c r="F5" s="11" t="n">
        <f aca="false">COUNTIFS(Intentions!$B$2:$B$365,$A5,Intentions!$H$2:$H$365,"Done")+COUNTIFS(Intentions!$B$2:$B$365,$A5,Intentions!$H$2:$H$365,"Partial")</f>
        <v>2</v>
      </c>
      <c r="G5" s="12" t="n">
        <f aca="false">IF(E5=0,"",SUMIFS(Intentions!$K$2:$K$365,Intentions!$B$2:$B$365,$A5)/E5)</f>
        <v>0.25</v>
      </c>
      <c r="H5" s="11" t="n">
        <f aca="false">SUMIFS(Intentions!$G$2:$G$365,Intentions!$B$2:$B$365,$A5)</f>
        <v>185</v>
      </c>
      <c r="I5" s="11" t="n">
        <f aca="false">SUMIFS(Activities!$F$2:$F$190,Activities!$B$2:$B$190,$A5)</f>
        <v>54</v>
      </c>
      <c r="J5" s="11" t="n">
        <f aca="false">SUMIFS(Activities!$F$2:$F$190,Activities!$B$2:$B$190,$A5,Activities!$C$2:$C$190,"Spiritual")</f>
        <v>0</v>
      </c>
      <c r="K5" s="11" t="n">
        <f aca="false">SUMIFS(Activities!$F$2:$F$190,Activities!$B$2:$B$190,$A5,Activities!$C$2:$C$190,"Physical")</f>
        <v>0</v>
      </c>
      <c r="L5" s="11" t="n">
        <f aca="false">SUMIFS(Activities!$F$2:$F$190,Activities!$B$2:$B$190,$A5,Activities!$C$2:$C$190,"Studies")</f>
        <v>0</v>
      </c>
      <c r="M5" s="11" t="n">
        <f aca="false">SUMIFS(Activities!$F$2:$F$190,Activities!$B$2:$B$190,$A5,Activities!$C$2:$C$190,"Professional")</f>
        <v>37</v>
      </c>
      <c r="N5" s="11" t="n">
        <f aca="false">SUMIFS(Activities!$F$2:$F$190,Activities!$B$2:$B$190,$A5,Activities!$C$2:$C$190,"Personal")</f>
        <v>0</v>
      </c>
      <c r="O5" s="11" t="n">
        <f aca="false">SUMIFS(Activities!$F$2:$F$190,Activities!$B$2:$B$190,$A5,Activities!$C$2:$C$190,"Relationships")</f>
        <v>17</v>
      </c>
      <c r="P5" s="11" t="n">
        <f aca="false">SUMIFS(Activities!$F$2:$F$190,Activities!$B$2:$B$190,$A5,Activities!$C$2:$C$190,"Leisure and creativity")</f>
        <v>0</v>
      </c>
      <c r="Q5" s="10" t="n">
        <v>7</v>
      </c>
      <c r="R5" s="11"/>
      <c r="S5" s="11" t="n">
        <v>3</v>
      </c>
      <c r="T5" s="11" t="n">
        <v>3</v>
      </c>
      <c r="U5" s="11" t="n">
        <v>3</v>
      </c>
      <c r="V5" s="11" t="n">
        <v>1</v>
      </c>
      <c r="W5" s="11" t="n">
        <v>310</v>
      </c>
      <c r="X5" s="16" t="n">
        <v>5755</v>
      </c>
      <c r="Y5" s="10" t="n">
        <v>1.6</v>
      </c>
      <c r="Z5" s="11" t="n">
        <f aca="false">COUNTIFS(Reflections!$A$2:$A$70,$A5)</f>
        <v>0</v>
      </c>
      <c r="AA5" s="4" t="s">
        <v>80</v>
      </c>
      <c r="AB5" s="11" t="n">
        <v>0</v>
      </c>
      <c r="AC5" s="17"/>
    </row>
    <row r="6" customFormat="false" ht="15" hidden="false" customHeight="false" outlineLevel="0" collapsed="false">
      <c r="A6" s="15" t="n">
        <v>46226</v>
      </c>
      <c r="B6" s="4" t="str">
        <f aca="false">INDEX({"Monday","Tuesday","Wednesday","Thursday","Friday","Saturday","Sunday"},WEEKDAY($A6,2))</f>
        <v>Thursday</v>
      </c>
      <c r="C6" s="4" t="s">
        <v>78</v>
      </c>
      <c r="D6" s="11" t="n">
        <f aca="false">COUNTIFS(Intentions!$B$2:$B$365,$A6)</f>
        <v>6</v>
      </c>
      <c r="E6" s="11" t="n">
        <f aca="false">COUNTIFS(Intentions!$B$2:$B$365,$A6,Intentions!$H$2:$H$365,"&lt;&gt;Planned")</f>
        <v>6</v>
      </c>
      <c r="F6" s="11" t="n">
        <f aca="false">COUNTIFS(Intentions!$B$2:$B$365,$A6,Intentions!$H$2:$H$365,"Done")+COUNTIFS(Intentions!$B$2:$B$365,$A6,Intentions!$H$2:$H$365,"Partial")</f>
        <v>2</v>
      </c>
      <c r="G6" s="12" t="n">
        <f aca="false">IF(E6=0,"",SUMIFS(Intentions!$K$2:$K$365,Intentions!$B$2:$B$365,$A6)/E6)</f>
        <v>0.333333333333333</v>
      </c>
      <c r="H6" s="11" t="n">
        <f aca="false">SUMIFS(Intentions!$G$2:$G$365,Intentions!$B$2:$B$365,$A6)</f>
        <v>195</v>
      </c>
      <c r="I6" s="11" t="n">
        <f aca="false">SUMIFS(Activities!$F$2:$F$190,Activities!$B$2:$B$190,$A6)</f>
        <v>127</v>
      </c>
      <c r="J6" s="11" t="n">
        <f aca="false">SUMIFS(Activities!$F$2:$F$190,Activities!$B$2:$B$190,$A6,Activities!$C$2:$C$190,"Spiritual")</f>
        <v>37</v>
      </c>
      <c r="K6" s="11" t="n">
        <f aca="false">SUMIFS(Activities!$F$2:$F$190,Activities!$B$2:$B$190,$A6,Activities!$C$2:$C$190,"Physical")</f>
        <v>0</v>
      </c>
      <c r="L6" s="11" t="n">
        <f aca="false">SUMIFS(Activities!$F$2:$F$190,Activities!$B$2:$B$190,$A6,Activities!$C$2:$C$190,"Studies")</f>
        <v>0</v>
      </c>
      <c r="M6" s="11" t="n">
        <f aca="false">SUMIFS(Activities!$F$2:$F$190,Activities!$B$2:$B$190,$A6,Activities!$C$2:$C$190,"Professional")</f>
        <v>0</v>
      </c>
      <c r="N6" s="11" t="n">
        <f aca="false">SUMIFS(Activities!$F$2:$F$190,Activities!$B$2:$B$190,$A6,Activities!$C$2:$C$190,"Personal")</f>
        <v>0</v>
      </c>
      <c r="O6" s="11" t="n">
        <f aca="false">SUMIFS(Activities!$F$2:$F$190,Activities!$B$2:$B$190,$A6,Activities!$C$2:$C$190,"Relationships")</f>
        <v>0</v>
      </c>
      <c r="P6" s="11" t="n">
        <f aca="false">SUMIFS(Activities!$F$2:$F$190,Activities!$B$2:$B$190,$A6,Activities!$C$2:$C$190,"Leisure and creativity")</f>
        <v>90</v>
      </c>
      <c r="Q6" s="10" t="n">
        <v>8.5</v>
      </c>
      <c r="R6" s="11"/>
      <c r="S6" s="11" t="n">
        <v>4</v>
      </c>
      <c r="T6" s="11" t="n">
        <v>4</v>
      </c>
      <c r="U6" s="11" t="n">
        <v>4</v>
      </c>
      <c r="V6" s="11" t="n">
        <v>1</v>
      </c>
      <c r="W6" s="11" t="n">
        <v>137</v>
      </c>
      <c r="X6" s="16" t="n">
        <v>8712</v>
      </c>
      <c r="Y6" s="10" t="n">
        <v>1.2</v>
      </c>
      <c r="Z6" s="11" t="n">
        <f aca="false">COUNTIFS(Reflections!$A$2:$A$70,$A6)</f>
        <v>2</v>
      </c>
      <c r="AA6" s="4" t="s">
        <v>80</v>
      </c>
      <c r="AB6" s="11" t="n">
        <v>0</v>
      </c>
      <c r="AC6" s="17"/>
    </row>
    <row r="7" customFormat="false" ht="15" hidden="false" customHeight="false" outlineLevel="0" collapsed="false">
      <c r="A7" s="15" t="n">
        <v>46227</v>
      </c>
      <c r="B7" s="4" t="str">
        <f aca="false">INDEX({"Monday","Tuesday","Wednesday","Thursday","Friday","Saturday","Sunday"},WEEKDAY($A7,2))</f>
        <v>Friday</v>
      </c>
      <c r="C7" s="4" t="s">
        <v>78</v>
      </c>
      <c r="D7" s="11" t="n">
        <f aca="false">COUNTIFS(Intentions!$B$2:$B$365,$A7)</f>
        <v>7</v>
      </c>
      <c r="E7" s="11" t="n">
        <f aca="false">COUNTIFS(Intentions!$B$2:$B$365,$A7,Intentions!$H$2:$H$365,"&lt;&gt;Planned")</f>
        <v>7</v>
      </c>
      <c r="F7" s="11" t="n">
        <f aca="false">COUNTIFS(Intentions!$B$2:$B$365,$A7,Intentions!$H$2:$H$365,"Done")+COUNTIFS(Intentions!$B$2:$B$365,$A7,Intentions!$H$2:$H$365,"Partial")</f>
        <v>4</v>
      </c>
      <c r="G7" s="12" t="n">
        <f aca="false">IF(E7=0,"",SUMIFS(Intentions!$K$2:$K$365,Intentions!$B$2:$B$365,$A7)/E7)</f>
        <v>0.571428571428571</v>
      </c>
      <c r="H7" s="11" t="n">
        <f aca="false">SUMIFS(Intentions!$G$2:$G$365,Intentions!$B$2:$B$365,$A7)</f>
        <v>270</v>
      </c>
      <c r="I7" s="11" t="n">
        <f aca="false">SUMIFS(Activities!$F$2:$F$190,Activities!$B$2:$B$190,$A7)</f>
        <v>236</v>
      </c>
      <c r="J7" s="11" t="n">
        <f aca="false">SUMIFS(Activities!$F$2:$F$190,Activities!$B$2:$B$190,$A7,Activities!$C$2:$C$190,"Spiritual")</f>
        <v>0</v>
      </c>
      <c r="K7" s="11" t="n">
        <f aca="false">SUMIFS(Activities!$F$2:$F$190,Activities!$B$2:$B$190,$A7,Activities!$C$2:$C$190,"Physical")</f>
        <v>77</v>
      </c>
      <c r="L7" s="11" t="n">
        <f aca="false">SUMIFS(Activities!$F$2:$F$190,Activities!$B$2:$B$190,$A7,Activities!$C$2:$C$190,"Studies")</f>
        <v>99</v>
      </c>
      <c r="M7" s="11" t="n">
        <f aca="false">SUMIFS(Activities!$F$2:$F$190,Activities!$B$2:$B$190,$A7,Activities!$C$2:$C$190,"Professional")</f>
        <v>0</v>
      </c>
      <c r="N7" s="11" t="n">
        <f aca="false">SUMIFS(Activities!$F$2:$F$190,Activities!$B$2:$B$190,$A7,Activities!$C$2:$C$190,"Personal")</f>
        <v>0</v>
      </c>
      <c r="O7" s="11" t="n">
        <f aca="false">SUMIFS(Activities!$F$2:$F$190,Activities!$B$2:$B$190,$A7,Activities!$C$2:$C$190,"Relationships")</f>
        <v>0</v>
      </c>
      <c r="P7" s="11" t="n">
        <f aca="false">SUMIFS(Activities!$F$2:$F$190,Activities!$B$2:$B$190,$A7,Activities!$C$2:$C$190,"Leisure and creativity")</f>
        <v>60</v>
      </c>
      <c r="Q7" s="10" t="n">
        <v>6.3</v>
      </c>
      <c r="R7" s="11"/>
      <c r="S7" s="11" t="n">
        <v>3</v>
      </c>
      <c r="T7" s="11" t="n">
        <v>3</v>
      </c>
      <c r="U7" s="11" t="n">
        <v>3</v>
      </c>
      <c r="V7" s="11" t="n">
        <v>5</v>
      </c>
      <c r="W7" s="11" t="n">
        <v>98</v>
      </c>
      <c r="X7" s="16" t="n">
        <v>8238</v>
      </c>
      <c r="Y7" s="10" t="n">
        <v>1.7</v>
      </c>
      <c r="Z7" s="11" t="n">
        <f aca="false">COUNTIFS(Reflections!$A$2:$A$70,$A7)</f>
        <v>0</v>
      </c>
      <c r="AA7" s="4" t="s">
        <v>80</v>
      </c>
      <c r="AB7" s="11" t="n">
        <v>0</v>
      </c>
      <c r="AC7" s="17"/>
    </row>
    <row r="8" customFormat="false" ht="15" hidden="false" customHeight="false" outlineLevel="0" collapsed="false">
      <c r="A8" s="15" t="n">
        <v>46228</v>
      </c>
      <c r="B8" s="4" t="str">
        <f aca="false">INDEX({"Monday","Tuesday","Wednesday","Thursday","Friday","Saturday","Sunday"},WEEKDAY($A8,2))</f>
        <v>Saturday</v>
      </c>
      <c r="C8" s="4" t="s">
        <v>78</v>
      </c>
      <c r="D8" s="11" t="n">
        <f aca="false">COUNTIFS(Intentions!$B$2:$B$365,$A8)</f>
        <v>6</v>
      </c>
      <c r="E8" s="11" t="n">
        <f aca="false">COUNTIFS(Intentions!$B$2:$B$365,$A8,Intentions!$H$2:$H$365,"&lt;&gt;Planned")</f>
        <v>6</v>
      </c>
      <c r="F8" s="11" t="n">
        <f aca="false">COUNTIFS(Intentions!$B$2:$B$365,$A8,Intentions!$H$2:$H$365,"Done")+COUNTIFS(Intentions!$B$2:$B$365,$A8,Intentions!$H$2:$H$365,"Partial")</f>
        <v>4</v>
      </c>
      <c r="G8" s="12" t="n">
        <f aca="false">IF(E8=0,"",SUMIFS(Intentions!$K$2:$K$365,Intentions!$B$2:$B$365,$A8)/E8)</f>
        <v>0.583333333333333</v>
      </c>
      <c r="H8" s="11" t="n">
        <f aca="false">SUMIFS(Intentions!$G$2:$G$365,Intentions!$B$2:$B$365,$A8)</f>
        <v>230</v>
      </c>
      <c r="I8" s="11" t="n">
        <f aca="false">SUMIFS(Activities!$F$2:$F$190,Activities!$B$2:$B$190,$A8)</f>
        <v>173</v>
      </c>
      <c r="J8" s="11" t="n">
        <f aca="false">SUMIFS(Activities!$F$2:$F$190,Activities!$B$2:$B$190,$A8,Activities!$C$2:$C$190,"Spiritual")</f>
        <v>0</v>
      </c>
      <c r="K8" s="11" t="n">
        <f aca="false">SUMIFS(Activities!$F$2:$F$190,Activities!$B$2:$B$190,$A8,Activities!$C$2:$C$190,"Physical")</f>
        <v>0</v>
      </c>
      <c r="L8" s="11" t="n">
        <f aca="false">SUMIFS(Activities!$F$2:$F$190,Activities!$B$2:$B$190,$A8,Activities!$C$2:$C$190,"Studies")</f>
        <v>43</v>
      </c>
      <c r="M8" s="11" t="n">
        <f aca="false">SUMIFS(Activities!$F$2:$F$190,Activities!$B$2:$B$190,$A8,Activities!$C$2:$C$190,"Professional")</f>
        <v>71</v>
      </c>
      <c r="N8" s="11" t="n">
        <f aca="false">SUMIFS(Activities!$F$2:$F$190,Activities!$B$2:$B$190,$A8,Activities!$C$2:$C$190,"Personal")</f>
        <v>39</v>
      </c>
      <c r="O8" s="11" t="n">
        <f aca="false">SUMIFS(Activities!$F$2:$F$190,Activities!$B$2:$B$190,$A8,Activities!$C$2:$C$190,"Relationships")</f>
        <v>20</v>
      </c>
      <c r="P8" s="11" t="n">
        <f aca="false">SUMIFS(Activities!$F$2:$F$190,Activities!$B$2:$B$190,$A8,Activities!$C$2:$C$190,"Leisure and creativity")</f>
        <v>0</v>
      </c>
      <c r="Q8" s="10" t="n">
        <v>6.8</v>
      </c>
      <c r="R8" s="11"/>
      <c r="S8" s="11" t="n">
        <v>2</v>
      </c>
      <c r="T8" s="11" t="n">
        <v>1</v>
      </c>
      <c r="U8" s="11" t="n">
        <v>3</v>
      </c>
      <c r="V8" s="11" t="n">
        <v>4</v>
      </c>
      <c r="W8" s="11" t="n">
        <v>193</v>
      </c>
      <c r="X8" s="16" t="n">
        <v>8572</v>
      </c>
      <c r="Y8" s="10" t="n">
        <v>1.8</v>
      </c>
      <c r="Z8" s="11" t="n">
        <f aca="false">COUNTIFS(Reflections!$A$2:$A$70,$A8)</f>
        <v>2</v>
      </c>
      <c r="AA8" s="4" t="s">
        <v>79</v>
      </c>
      <c r="AB8" s="11" t="n">
        <v>4</v>
      </c>
      <c r="AC8" s="17"/>
    </row>
    <row r="9" customFormat="false" ht="15" hidden="false" customHeight="false" outlineLevel="0" collapsed="false">
      <c r="A9" s="15" t="n">
        <v>46229</v>
      </c>
      <c r="B9" s="4" t="str">
        <f aca="false">INDEX({"Monday","Tuesday","Wednesday","Thursday","Friday","Saturday","Sunday"},WEEKDAY($A9,2))</f>
        <v>Sunday</v>
      </c>
      <c r="C9" s="4" t="s">
        <v>81</v>
      </c>
      <c r="D9" s="11" t="n">
        <f aca="false">COUNTIFS(Intentions!$B$2:$B$365,$A9)</f>
        <v>0</v>
      </c>
      <c r="E9" s="11" t="n">
        <f aca="false">COUNTIFS(Intentions!$B$2:$B$365,$A9,Intentions!$H$2:$H$365,"&lt;&gt;Planned")</f>
        <v>0</v>
      </c>
      <c r="F9" s="11" t="n">
        <f aca="false">COUNTIFS(Intentions!$B$2:$B$365,$A9,Intentions!$H$2:$H$365,"Done")+COUNTIFS(Intentions!$B$2:$B$365,$A9,Intentions!$H$2:$H$365,"Partial")</f>
        <v>0</v>
      </c>
      <c r="G9" s="12" t="str">
        <f aca="false">IF(E9=0,"",SUMIFS(Intentions!$K$2:$K$365,Intentions!$B$2:$B$365,$A9)/E9)</f>
        <v/>
      </c>
      <c r="H9" s="11" t="n">
        <f aca="false">SUMIFS(Intentions!$G$2:$G$365,Intentions!$B$2:$B$365,$A9)</f>
        <v>0</v>
      </c>
      <c r="I9" s="11" t="n">
        <f aca="false">SUMIFS(Activities!$F$2:$F$190,Activities!$B$2:$B$190,$A9)</f>
        <v>0</v>
      </c>
      <c r="J9" s="11" t="n">
        <f aca="false">SUMIFS(Activities!$F$2:$F$190,Activities!$B$2:$B$190,$A9,Activities!$C$2:$C$190,"Spiritual")</f>
        <v>0</v>
      </c>
      <c r="K9" s="11" t="n">
        <f aca="false">SUMIFS(Activities!$F$2:$F$190,Activities!$B$2:$B$190,$A9,Activities!$C$2:$C$190,"Physical")</f>
        <v>0</v>
      </c>
      <c r="L9" s="11" t="n">
        <f aca="false">SUMIFS(Activities!$F$2:$F$190,Activities!$B$2:$B$190,$A9,Activities!$C$2:$C$190,"Studies")</f>
        <v>0</v>
      </c>
      <c r="M9" s="11" t="n">
        <f aca="false">SUMIFS(Activities!$F$2:$F$190,Activities!$B$2:$B$190,$A9,Activities!$C$2:$C$190,"Professional")</f>
        <v>0</v>
      </c>
      <c r="N9" s="11" t="n">
        <f aca="false">SUMIFS(Activities!$F$2:$F$190,Activities!$B$2:$B$190,$A9,Activities!$C$2:$C$190,"Personal")</f>
        <v>0</v>
      </c>
      <c r="O9" s="11" t="n">
        <f aca="false">SUMIFS(Activities!$F$2:$F$190,Activities!$B$2:$B$190,$A9,Activities!$C$2:$C$190,"Relationships")</f>
        <v>0</v>
      </c>
      <c r="P9" s="11" t="n">
        <f aca="false">SUMIFS(Activities!$F$2:$F$190,Activities!$B$2:$B$190,$A9,Activities!$C$2:$C$190,"Leisure and creativity")</f>
        <v>0</v>
      </c>
      <c r="Q9" s="10"/>
      <c r="R9" s="11"/>
      <c r="S9" s="11"/>
      <c r="T9" s="11"/>
      <c r="U9" s="11"/>
      <c r="V9" s="11"/>
      <c r="W9" s="11"/>
      <c r="X9" s="16"/>
      <c r="Y9" s="10"/>
      <c r="Z9" s="11" t="n">
        <f aca="false">COUNTIFS(Reflections!$A$2:$A$70,$A9)</f>
        <v>0</v>
      </c>
      <c r="AA9" s="4" t="s">
        <v>82</v>
      </c>
      <c r="AB9" s="11"/>
      <c r="AC9" s="17"/>
    </row>
    <row r="10" customFormat="false" ht="15" hidden="false" customHeight="false" outlineLevel="0" collapsed="false">
      <c r="A10" s="15" t="n">
        <v>46230</v>
      </c>
      <c r="B10" s="4" t="str">
        <f aca="false">INDEX({"Monday","Tuesday","Wednesday","Thursday","Friday","Saturday","Sunday"},WEEKDAY($A10,2))</f>
        <v>Monday</v>
      </c>
      <c r="C10" s="4" t="s">
        <v>78</v>
      </c>
      <c r="D10" s="11" t="n">
        <f aca="false">COUNTIFS(Intentions!$B$2:$B$365,$A10)</f>
        <v>2</v>
      </c>
      <c r="E10" s="11" t="n">
        <f aca="false">COUNTIFS(Intentions!$B$2:$B$365,$A10,Intentions!$H$2:$H$365,"&lt;&gt;Planned")</f>
        <v>2</v>
      </c>
      <c r="F10" s="11" t="n">
        <f aca="false">COUNTIFS(Intentions!$B$2:$B$365,$A10,Intentions!$H$2:$H$365,"Done")+COUNTIFS(Intentions!$B$2:$B$365,$A10,Intentions!$H$2:$H$365,"Partial")</f>
        <v>0</v>
      </c>
      <c r="G10" s="12" t="n">
        <f aca="false">IF(E10=0,"",SUMIFS(Intentions!$K$2:$K$365,Intentions!$B$2:$B$365,$A10)/E10)</f>
        <v>0</v>
      </c>
      <c r="H10" s="11" t="n">
        <f aca="false">SUMIFS(Intentions!$G$2:$G$365,Intentions!$B$2:$B$365,$A10)</f>
        <v>100</v>
      </c>
      <c r="I10" s="11" t="n">
        <f aca="false">SUMIFS(Activities!$F$2:$F$190,Activities!$B$2:$B$190,$A10)</f>
        <v>0</v>
      </c>
      <c r="J10" s="11" t="n">
        <f aca="false">SUMIFS(Activities!$F$2:$F$190,Activities!$B$2:$B$190,$A10,Activities!$C$2:$C$190,"Spiritual")</f>
        <v>0</v>
      </c>
      <c r="K10" s="11" t="n">
        <f aca="false">SUMIFS(Activities!$F$2:$F$190,Activities!$B$2:$B$190,$A10,Activities!$C$2:$C$190,"Physical")</f>
        <v>0</v>
      </c>
      <c r="L10" s="11" t="n">
        <f aca="false">SUMIFS(Activities!$F$2:$F$190,Activities!$B$2:$B$190,$A10,Activities!$C$2:$C$190,"Studies")</f>
        <v>0</v>
      </c>
      <c r="M10" s="11" t="n">
        <f aca="false">SUMIFS(Activities!$F$2:$F$190,Activities!$B$2:$B$190,$A10,Activities!$C$2:$C$190,"Professional")</f>
        <v>0</v>
      </c>
      <c r="N10" s="11" t="n">
        <f aca="false">SUMIFS(Activities!$F$2:$F$190,Activities!$B$2:$B$190,$A10,Activities!$C$2:$C$190,"Personal")</f>
        <v>0</v>
      </c>
      <c r="O10" s="11" t="n">
        <f aca="false">SUMIFS(Activities!$F$2:$F$190,Activities!$B$2:$B$190,$A10,Activities!$C$2:$C$190,"Relationships")</f>
        <v>0</v>
      </c>
      <c r="P10" s="11" t="n">
        <f aca="false">SUMIFS(Activities!$F$2:$F$190,Activities!$B$2:$B$190,$A10,Activities!$C$2:$C$190,"Leisure and creativity")</f>
        <v>0</v>
      </c>
      <c r="Q10" s="10" t="n">
        <v>8</v>
      </c>
      <c r="R10" s="11"/>
      <c r="S10" s="11" t="n">
        <v>3</v>
      </c>
      <c r="T10" s="11" t="n">
        <v>4</v>
      </c>
      <c r="U10" s="11" t="n">
        <v>3</v>
      </c>
      <c r="V10" s="11" t="n">
        <v>2</v>
      </c>
      <c r="W10" s="11" t="n">
        <v>228</v>
      </c>
      <c r="X10" s="16" t="n">
        <v>7546</v>
      </c>
      <c r="Y10" s="10" t="n">
        <v>1.5</v>
      </c>
      <c r="Z10" s="11" t="n">
        <f aca="false">COUNTIFS(Reflections!$A$2:$A$70,$A10)</f>
        <v>1</v>
      </c>
      <c r="AA10" s="4" t="s">
        <v>80</v>
      </c>
      <c r="AB10" s="11" t="n">
        <v>0</v>
      </c>
      <c r="AC10" s="17"/>
    </row>
    <row r="11" customFormat="false" ht="15" hidden="false" customHeight="false" outlineLevel="0" collapsed="false">
      <c r="A11" s="15" t="n">
        <v>46231</v>
      </c>
      <c r="B11" s="4" t="str">
        <f aca="false">INDEX({"Monday","Tuesday","Wednesday","Thursday","Friday","Saturday","Sunday"},WEEKDAY($A11,2))</f>
        <v>Tuesday</v>
      </c>
      <c r="C11" s="4" t="s">
        <v>78</v>
      </c>
      <c r="D11" s="11" t="n">
        <f aca="false">COUNTIFS(Intentions!$B$2:$B$365,$A11)</f>
        <v>2</v>
      </c>
      <c r="E11" s="11" t="n">
        <f aca="false">COUNTIFS(Intentions!$B$2:$B$365,$A11,Intentions!$H$2:$H$365,"&lt;&gt;Planned")</f>
        <v>2</v>
      </c>
      <c r="F11" s="11" t="n">
        <f aca="false">COUNTIFS(Intentions!$B$2:$B$365,$A11,Intentions!$H$2:$H$365,"Done")+COUNTIFS(Intentions!$B$2:$B$365,$A11,Intentions!$H$2:$H$365,"Partial")</f>
        <v>2</v>
      </c>
      <c r="G11" s="12" t="n">
        <f aca="false">IF(E11=0,"",SUMIFS(Intentions!$K$2:$K$365,Intentions!$B$2:$B$365,$A11)/E11)</f>
        <v>1</v>
      </c>
      <c r="H11" s="11" t="n">
        <f aca="false">SUMIFS(Intentions!$G$2:$G$365,Intentions!$B$2:$B$365,$A11)</f>
        <v>120</v>
      </c>
      <c r="I11" s="11" t="n">
        <f aca="false">SUMIFS(Activities!$F$2:$F$190,Activities!$B$2:$B$190,$A11)</f>
        <v>214</v>
      </c>
      <c r="J11" s="11" t="n">
        <f aca="false">SUMIFS(Activities!$F$2:$F$190,Activities!$B$2:$B$190,$A11,Activities!$C$2:$C$190,"Spiritual")</f>
        <v>0</v>
      </c>
      <c r="K11" s="11" t="n">
        <f aca="false">SUMIFS(Activities!$F$2:$F$190,Activities!$B$2:$B$190,$A11,Activities!$C$2:$C$190,"Physical")</f>
        <v>0</v>
      </c>
      <c r="L11" s="11" t="n">
        <f aca="false">SUMIFS(Activities!$F$2:$F$190,Activities!$B$2:$B$190,$A11,Activities!$C$2:$C$190,"Studies")</f>
        <v>124</v>
      </c>
      <c r="M11" s="11" t="n">
        <f aca="false">SUMIFS(Activities!$F$2:$F$190,Activities!$B$2:$B$190,$A11,Activities!$C$2:$C$190,"Professional")</f>
        <v>0</v>
      </c>
      <c r="N11" s="11" t="n">
        <f aca="false">SUMIFS(Activities!$F$2:$F$190,Activities!$B$2:$B$190,$A11,Activities!$C$2:$C$190,"Personal")</f>
        <v>0</v>
      </c>
      <c r="O11" s="11" t="n">
        <f aca="false">SUMIFS(Activities!$F$2:$F$190,Activities!$B$2:$B$190,$A11,Activities!$C$2:$C$190,"Relationships")</f>
        <v>0</v>
      </c>
      <c r="P11" s="11" t="n">
        <f aca="false">SUMIFS(Activities!$F$2:$F$190,Activities!$B$2:$B$190,$A11,Activities!$C$2:$C$190,"Leisure and creativity")</f>
        <v>90</v>
      </c>
      <c r="Q11" s="10" t="n">
        <v>5.9</v>
      </c>
      <c r="R11" s="11"/>
      <c r="S11" s="11" t="n">
        <v>4</v>
      </c>
      <c r="T11" s="11" t="n">
        <v>5</v>
      </c>
      <c r="U11" s="11" t="n">
        <v>4</v>
      </c>
      <c r="V11" s="11" t="n">
        <v>1</v>
      </c>
      <c r="W11" s="11" t="n">
        <v>227</v>
      </c>
      <c r="X11" s="16" t="n">
        <v>4672</v>
      </c>
      <c r="Y11" s="10" t="n">
        <v>1.8</v>
      </c>
      <c r="Z11" s="11" t="n">
        <f aca="false">COUNTIFS(Reflections!$A$2:$A$70,$A11)</f>
        <v>2</v>
      </c>
      <c r="AA11" s="4" t="s">
        <v>80</v>
      </c>
      <c r="AB11" s="11" t="n">
        <v>0</v>
      </c>
      <c r="AC11" s="17" t="s">
        <v>83</v>
      </c>
    </row>
    <row r="12" customFormat="false" ht="15" hidden="false" customHeight="false" outlineLevel="0" collapsed="false">
      <c r="A12" s="15" t="n">
        <v>46232</v>
      </c>
      <c r="B12" s="4" t="str">
        <f aca="false">INDEX({"Monday","Tuesday","Wednesday","Thursday","Friday","Saturday","Sunday"},WEEKDAY($A12,2))</f>
        <v>Wednesday</v>
      </c>
      <c r="C12" s="4" t="s">
        <v>78</v>
      </c>
      <c r="D12" s="11" t="n">
        <f aca="false">COUNTIFS(Intentions!$B$2:$B$365,$A12)</f>
        <v>7</v>
      </c>
      <c r="E12" s="11" t="n">
        <f aca="false">COUNTIFS(Intentions!$B$2:$B$365,$A12,Intentions!$H$2:$H$365,"&lt;&gt;Planned")</f>
        <v>7</v>
      </c>
      <c r="F12" s="11" t="n">
        <f aca="false">COUNTIFS(Intentions!$B$2:$B$365,$A12,Intentions!$H$2:$H$365,"Done")+COUNTIFS(Intentions!$B$2:$B$365,$A12,Intentions!$H$2:$H$365,"Partial")</f>
        <v>0</v>
      </c>
      <c r="G12" s="12" t="n">
        <f aca="false">IF(E12=0,"",SUMIFS(Intentions!$K$2:$K$365,Intentions!$B$2:$B$365,$A12)/E12)</f>
        <v>0</v>
      </c>
      <c r="H12" s="11" t="n">
        <f aca="false">SUMIFS(Intentions!$G$2:$G$365,Intentions!$B$2:$B$365,$A12)</f>
        <v>245</v>
      </c>
      <c r="I12" s="11" t="n">
        <f aca="false">SUMIFS(Activities!$F$2:$F$190,Activities!$B$2:$B$190,$A12)</f>
        <v>0</v>
      </c>
      <c r="J12" s="11" t="n">
        <f aca="false">SUMIFS(Activities!$F$2:$F$190,Activities!$B$2:$B$190,$A12,Activities!$C$2:$C$190,"Spiritual")</f>
        <v>0</v>
      </c>
      <c r="K12" s="11" t="n">
        <f aca="false">SUMIFS(Activities!$F$2:$F$190,Activities!$B$2:$B$190,$A12,Activities!$C$2:$C$190,"Physical")</f>
        <v>0</v>
      </c>
      <c r="L12" s="11" t="n">
        <f aca="false">SUMIFS(Activities!$F$2:$F$190,Activities!$B$2:$B$190,$A12,Activities!$C$2:$C$190,"Studies")</f>
        <v>0</v>
      </c>
      <c r="M12" s="11" t="n">
        <f aca="false">SUMIFS(Activities!$F$2:$F$190,Activities!$B$2:$B$190,$A12,Activities!$C$2:$C$190,"Professional")</f>
        <v>0</v>
      </c>
      <c r="N12" s="11" t="n">
        <f aca="false">SUMIFS(Activities!$F$2:$F$190,Activities!$B$2:$B$190,$A12,Activities!$C$2:$C$190,"Personal")</f>
        <v>0</v>
      </c>
      <c r="O12" s="11" t="n">
        <f aca="false">SUMIFS(Activities!$F$2:$F$190,Activities!$B$2:$B$190,$A12,Activities!$C$2:$C$190,"Relationships")</f>
        <v>0</v>
      </c>
      <c r="P12" s="11" t="n">
        <f aca="false">SUMIFS(Activities!$F$2:$F$190,Activities!$B$2:$B$190,$A12,Activities!$C$2:$C$190,"Leisure and creativity")</f>
        <v>0</v>
      </c>
      <c r="Q12" s="10" t="n">
        <v>6.1</v>
      </c>
      <c r="R12" s="11"/>
      <c r="S12" s="11" t="n">
        <v>2</v>
      </c>
      <c r="T12" s="11" t="n">
        <v>1</v>
      </c>
      <c r="U12" s="11" t="n">
        <v>2</v>
      </c>
      <c r="V12" s="11" t="n">
        <v>4</v>
      </c>
      <c r="W12" s="11" t="n">
        <v>207</v>
      </c>
      <c r="X12" s="16" t="n">
        <v>10425</v>
      </c>
      <c r="Y12" s="10" t="n">
        <v>2.7</v>
      </c>
      <c r="Z12" s="11" t="n">
        <f aca="false">COUNTIFS(Reflections!$A$2:$A$70,$A12)</f>
        <v>0</v>
      </c>
      <c r="AA12" s="4" t="s">
        <v>80</v>
      </c>
      <c r="AB12" s="11" t="n">
        <v>0</v>
      </c>
      <c r="AC12" s="17"/>
    </row>
    <row r="13" customFormat="false" ht="15" hidden="false" customHeight="false" outlineLevel="0" collapsed="false">
      <c r="A13" s="15" t="n">
        <v>46233</v>
      </c>
      <c r="B13" s="4" t="str">
        <f aca="false">INDEX({"Monday","Tuesday","Wednesday","Thursday","Friday","Saturday","Sunday"},WEEKDAY($A13,2))</f>
        <v>Thursday</v>
      </c>
      <c r="C13" s="4" t="s">
        <v>78</v>
      </c>
      <c r="D13" s="11" t="n">
        <f aca="false">COUNTIFS(Intentions!$B$2:$B$365,$A13)</f>
        <v>3</v>
      </c>
      <c r="E13" s="11" t="n">
        <f aca="false">COUNTIFS(Intentions!$B$2:$B$365,$A13,Intentions!$H$2:$H$365,"&lt;&gt;Planned")</f>
        <v>3</v>
      </c>
      <c r="F13" s="11" t="n">
        <f aca="false">COUNTIFS(Intentions!$B$2:$B$365,$A13,Intentions!$H$2:$H$365,"Done")+COUNTIFS(Intentions!$B$2:$B$365,$A13,Intentions!$H$2:$H$365,"Partial")</f>
        <v>2</v>
      </c>
      <c r="G13" s="12" t="n">
        <f aca="false">IF(E13=0,"",SUMIFS(Intentions!$K$2:$K$365,Intentions!$B$2:$B$365,$A13)/E13)</f>
        <v>0.5</v>
      </c>
      <c r="H13" s="11" t="n">
        <f aca="false">SUMIFS(Intentions!$G$2:$G$365,Intentions!$B$2:$B$365,$A13)</f>
        <v>165</v>
      </c>
      <c r="I13" s="11" t="n">
        <f aca="false">SUMIFS(Activities!$F$2:$F$190,Activities!$B$2:$B$190,$A13)</f>
        <v>99</v>
      </c>
      <c r="J13" s="11" t="n">
        <f aca="false">SUMIFS(Activities!$F$2:$F$190,Activities!$B$2:$B$190,$A13,Activities!$C$2:$C$190,"Spiritual")</f>
        <v>0</v>
      </c>
      <c r="K13" s="11" t="n">
        <f aca="false">SUMIFS(Activities!$F$2:$F$190,Activities!$B$2:$B$190,$A13,Activities!$C$2:$C$190,"Physical")</f>
        <v>0</v>
      </c>
      <c r="L13" s="11" t="n">
        <f aca="false">SUMIFS(Activities!$F$2:$F$190,Activities!$B$2:$B$190,$A13,Activities!$C$2:$C$190,"Studies")</f>
        <v>99</v>
      </c>
      <c r="M13" s="11" t="n">
        <f aca="false">SUMIFS(Activities!$F$2:$F$190,Activities!$B$2:$B$190,$A13,Activities!$C$2:$C$190,"Professional")</f>
        <v>0</v>
      </c>
      <c r="N13" s="11" t="n">
        <f aca="false">SUMIFS(Activities!$F$2:$F$190,Activities!$B$2:$B$190,$A13,Activities!$C$2:$C$190,"Personal")</f>
        <v>0</v>
      </c>
      <c r="O13" s="11" t="n">
        <f aca="false">SUMIFS(Activities!$F$2:$F$190,Activities!$B$2:$B$190,$A13,Activities!$C$2:$C$190,"Relationships")</f>
        <v>0</v>
      </c>
      <c r="P13" s="11" t="n">
        <f aca="false">SUMIFS(Activities!$F$2:$F$190,Activities!$B$2:$B$190,$A13,Activities!$C$2:$C$190,"Leisure and creativity")</f>
        <v>0</v>
      </c>
      <c r="Q13" s="10" t="n">
        <v>7.7</v>
      </c>
      <c r="R13" s="11"/>
      <c r="S13" s="11" t="n">
        <v>3</v>
      </c>
      <c r="T13" s="11" t="n">
        <v>2</v>
      </c>
      <c r="U13" s="11" t="n">
        <v>3</v>
      </c>
      <c r="V13" s="11" t="n">
        <v>4</v>
      </c>
      <c r="W13" s="11" t="n">
        <v>221</v>
      </c>
      <c r="X13" s="16" t="n">
        <v>7114</v>
      </c>
      <c r="Y13" s="10" t="n">
        <v>2.3</v>
      </c>
      <c r="Z13" s="11" t="n">
        <f aca="false">COUNTIFS(Reflections!$A$2:$A$70,$A13)</f>
        <v>0</v>
      </c>
      <c r="AA13" s="4" t="s">
        <v>79</v>
      </c>
      <c r="AB13" s="11" t="n">
        <v>2</v>
      </c>
      <c r="AC13" s="17"/>
    </row>
    <row r="14" customFormat="false" ht="15" hidden="false" customHeight="false" outlineLevel="0" collapsed="false">
      <c r="A14" s="15" t="n">
        <v>46234</v>
      </c>
      <c r="B14" s="4" t="str">
        <f aca="false">INDEX({"Monday","Tuesday","Wednesday","Thursday","Friday","Saturday","Sunday"},WEEKDAY($A14,2))</f>
        <v>Friday</v>
      </c>
      <c r="C14" s="4" t="s">
        <v>78</v>
      </c>
      <c r="D14" s="11" t="n">
        <f aca="false">COUNTIFS(Intentions!$B$2:$B$365,$A14)</f>
        <v>7</v>
      </c>
      <c r="E14" s="11" t="n">
        <f aca="false">COUNTIFS(Intentions!$B$2:$B$365,$A14,Intentions!$H$2:$H$365,"&lt;&gt;Planned")</f>
        <v>0</v>
      </c>
      <c r="F14" s="11" t="n">
        <f aca="false">COUNTIFS(Intentions!$B$2:$B$365,$A14,Intentions!$H$2:$H$365,"Done")+COUNTIFS(Intentions!$B$2:$B$365,$A14,Intentions!$H$2:$H$365,"Partial")</f>
        <v>0</v>
      </c>
      <c r="G14" s="12" t="str">
        <f aca="false">IF(E14=0,"",SUMIFS(Intentions!$K$2:$K$365,Intentions!$B$2:$B$365,$A14)/E14)</f>
        <v/>
      </c>
      <c r="H14" s="11" t="n">
        <f aca="false">SUMIFS(Intentions!$G$2:$G$365,Intentions!$B$2:$B$365,$A14)</f>
        <v>345</v>
      </c>
      <c r="I14" s="11" t="n">
        <f aca="false">SUMIFS(Activities!$F$2:$F$190,Activities!$B$2:$B$190,$A14)</f>
        <v>0</v>
      </c>
      <c r="J14" s="11" t="n">
        <f aca="false">SUMIFS(Activities!$F$2:$F$190,Activities!$B$2:$B$190,$A14,Activities!$C$2:$C$190,"Spiritual")</f>
        <v>0</v>
      </c>
      <c r="K14" s="11" t="n">
        <f aca="false">SUMIFS(Activities!$F$2:$F$190,Activities!$B$2:$B$190,$A14,Activities!$C$2:$C$190,"Physical")</f>
        <v>0</v>
      </c>
      <c r="L14" s="11" t="n">
        <f aca="false">SUMIFS(Activities!$F$2:$F$190,Activities!$B$2:$B$190,$A14,Activities!$C$2:$C$190,"Studies")</f>
        <v>0</v>
      </c>
      <c r="M14" s="11" t="n">
        <f aca="false">SUMIFS(Activities!$F$2:$F$190,Activities!$B$2:$B$190,$A14,Activities!$C$2:$C$190,"Professional")</f>
        <v>0</v>
      </c>
      <c r="N14" s="11" t="n">
        <f aca="false">SUMIFS(Activities!$F$2:$F$190,Activities!$B$2:$B$190,$A14,Activities!$C$2:$C$190,"Personal")</f>
        <v>0</v>
      </c>
      <c r="O14" s="11" t="n">
        <f aca="false">SUMIFS(Activities!$F$2:$F$190,Activities!$B$2:$B$190,$A14,Activities!$C$2:$C$190,"Relationships")</f>
        <v>0</v>
      </c>
      <c r="P14" s="11" t="n">
        <f aca="false">SUMIFS(Activities!$F$2:$F$190,Activities!$B$2:$B$190,$A14,Activities!$C$2:$C$190,"Leisure and creativity")</f>
        <v>0</v>
      </c>
      <c r="Q14" s="10" t="n">
        <v>7.6</v>
      </c>
      <c r="R14" s="11"/>
      <c r="S14" s="11" t="n">
        <v>3</v>
      </c>
      <c r="T14" s="11" t="n">
        <v>4</v>
      </c>
      <c r="U14" s="11" t="n">
        <v>4</v>
      </c>
      <c r="V14" s="11" t="n">
        <v>2</v>
      </c>
      <c r="W14" s="11" t="n">
        <v>164</v>
      </c>
      <c r="X14" s="16" t="n">
        <v>6806</v>
      </c>
      <c r="Y14" s="10" t="n">
        <v>1.8</v>
      </c>
      <c r="Z14" s="11" t="n">
        <f aca="false">COUNTIFS(Reflections!$A$2:$A$70,$A14)</f>
        <v>0</v>
      </c>
      <c r="AA14" s="4" t="s">
        <v>80</v>
      </c>
      <c r="AB14" s="11" t="n">
        <v>0</v>
      </c>
      <c r="AC14" s="17"/>
    </row>
    <row r="15" customFormat="false" ht="15" hidden="false" customHeight="false" outlineLevel="0" collapsed="false">
      <c r="A15" s="15" t="n">
        <v>46235</v>
      </c>
      <c r="B15" s="4" t="str">
        <f aca="false">INDEX({"Monday","Tuesday","Wednesday","Thursday","Friday","Saturday","Sunday"},WEEKDAY($A15,2))</f>
        <v>Saturday</v>
      </c>
      <c r="C15" s="4" t="s">
        <v>78</v>
      </c>
      <c r="D15" s="11" t="n">
        <f aca="false">COUNTIFS(Intentions!$B$2:$B$365,$A15)</f>
        <v>6</v>
      </c>
      <c r="E15" s="11" t="n">
        <f aca="false">COUNTIFS(Intentions!$B$2:$B$365,$A15,Intentions!$H$2:$H$365,"&lt;&gt;Planned")</f>
        <v>6</v>
      </c>
      <c r="F15" s="11" t="n">
        <f aca="false">COUNTIFS(Intentions!$B$2:$B$365,$A15,Intentions!$H$2:$H$365,"Done")+COUNTIFS(Intentions!$B$2:$B$365,$A15,Intentions!$H$2:$H$365,"Partial")</f>
        <v>2</v>
      </c>
      <c r="G15" s="12" t="n">
        <f aca="false">IF(E15=0,"",SUMIFS(Intentions!$K$2:$K$365,Intentions!$B$2:$B$365,$A15)/E15)</f>
        <v>0.333333333333333</v>
      </c>
      <c r="H15" s="11" t="n">
        <f aca="false">SUMIFS(Intentions!$G$2:$G$365,Intentions!$B$2:$B$365,$A15)</f>
        <v>315</v>
      </c>
      <c r="I15" s="11" t="n">
        <f aca="false">SUMIFS(Activities!$F$2:$F$190,Activities!$B$2:$B$190,$A15)</f>
        <v>51</v>
      </c>
      <c r="J15" s="11" t="n">
        <f aca="false">SUMIFS(Activities!$F$2:$F$190,Activities!$B$2:$B$190,$A15,Activities!$C$2:$C$190,"Spiritual")</f>
        <v>17</v>
      </c>
      <c r="K15" s="11" t="n">
        <f aca="false">SUMIFS(Activities!$F$2:$F$190,Activities!$B$2:$B$190,$A15,Activities!$C$2:$C$190,"Physical")</f>
        <v>34</v>
      </c>
      <c r="L15" s="11" t="n">
        <f aca="false">SUMIFS(Activities!$F$2:$F$190,Activities!$B$2:$B$190,$A15,Activities!$C$2:$C$190,"Studies")</f>
        <v>0</v>
      </c>
      <c r="M15" s="11" t="n">
        <f aca="false">SUMIFS(Activities!$F$2:$F$190,Activities!$B$2:$B$190,$A15,Activities!$C$2:$C$190,"Professional")</f>
        <v>0</v>
      </c>
      <c r="N15" s="11" t="n">
        <f aca="false">SUMIFS(Activities!$F$2:$F$190,Activities!$B$2:$B$190,$A15,Activities!$C$2:$C$190,"Personal")</f>
        <v>0</v>
      </c>
      <c r="O15" s="11" t="n">
        <f aca="false">SUMIFS(Activities!$F$2:$F$190,Activities!$B$2:$B$190,$A15,Activities!$C$2:$C$190,"Relationships")</f>
        <v>0</v>
      </c>
      <c r="P15" s="11" t="n">
        <f aca="false">SUMIFS(Activities!$F$2:$F$190,Activities!$B$2:$B$190,$A15,Activities!$C$2:$C$190,"Leisure and creativity")</f>
        <v>0</v>
      </c>
      <c r="Q15" s="10" t="n">
        <v>9.5</v>
      </c>
      <c r="R15" s="11"/>
      <c r="S15" s="11" t="n">
        <v>4</v>
      </c>
      <c r="T15" s="11" t="n">
        <v>2</v>
      </c>
      <c r="U15" s="11" t="n">
        <v>3</v>
      </c>
      <c r="V15" s="11" t="n">
        <v>2</v>
      </c>
      <c r="W15" s="11" t="n">
        <v>135</v>
      </c>
      <c r="X15" s="16" t="n">
        <v>4487</v>
      </c>
      <c r="Y15" s="10" t="n">
        <v>2.2</v>
      </c>
      <c r="Z15" s="11" t="n">
        <f aca="false">COUNTIFS(Reflections!$A$2:$A$70,$A15)</f>
        <v>2</v>
      </c>
      <c r="AA15" s="4" t="s">
        <v>80</v>
      </c>
      <c r="AB15" s="11" t="n">
        <v>0</v>
      </c>
      <c r="AC15" s="17" t="s">
        <v>84</v>
      </c>
    </row>
    <row r="16" customFormat="false" ht="15" hidden="false" customHeight="false" outlineLevel="0" collapsed="false">
      <c r="A16" s="15" t="n">
        <v>46236</v>
      </c>
      <c r="B16" s="4" t="str">
        <f aca="false">INDEX({"Monday","Tuesday","Wednesday","Thursday","Friday","Saturday","Sunday"},WEEKDAY($A16,2))</f>
        <v>Sunday</v>
      </c>
      <c r="C16" s="4" t="s">
        <v>81</v>
      </c>
      <c r="D16" s="11" t="n">
        <f aca="false">COUNTIFS(Intentions!$B$2:$B$365,$A16)</f>
        <v>0</v>
      </c>
      <c r="E16" s="11" t="n">
        <f aca="false">COUNTIFS(Intentions!$B$2:$B$365,$A16,Intentions!$H$2:$H$365,"&lt;&gt;Planned")</f>
        <v>0</v>
      </c>
      <c r="F16" s="11" t="n">
        <f aca="false">COUNTIFS(Intentions!$B$2:$B$365,$A16,Intentions!$H$2:$H$365,"Done")+COUNTIFS(Intentions!$B$2:$B$365,$A16,Intentions!$H$2:$H$365,"Partial")</f>
        <v>0</v>
      </c>
      <c r="G16" s="12" t="str">
        <f aca="false">IF(E16=0,"",SUMIFS(Intentions!$K$2:$K$365,Intentions!$B$2:$B$365,$A16)/E16)</f>
        <v/>
      </c>
      <c r="H16" s="11" t="n">
        <f aca="false">SUMIFS(Intentions!$G$2:$G$365,Intentions!$B$2:$B$365,$A16)</f>
        <v>0</v>
      </c>
      <c r="I16" s="11" t="n">
        <f aca="false">SUMIFS(Activities!$F$2:$F$190,Activities!$B$2:$B$190,$A16)</f>
        <v>0</v>
      </c>
      <c r="J16" s="11" t="n">
        <f aca="false">SUMIFS(Activities!$F$2:$F$190,Activities!$B$2:$B$190,$A16,Activities!$C$2:$C$190,"Spiritual")</f>
        <v>0</v>
      </c>
      <c r="K16" s="11" t="n">
        <f aca="false">SUMIFS(Activities!$F$2:$F$190,Activities!$B$2:$B$190,$A16,Activities!$C$2:$C$190,"Physical")</f>
        <v>0</v>
      </c>
      <c r="L16" s="11" t="n">
        <f aca="false">SUMIFS(Activities!$F$2:$F$190,Activities!$B$2:$B$190,$A16,Activities!$C$2:$C$190,"Studies")</f>
        <v>0</v>
      </c>
      <c r="M16" s="11" t="n">
        <f aca="false">SUMIFS(Activities!$F$2:$F$190,Activities!$B$2:$B$190,$A16,Activities!$C$2:$C$190,"Professional")</f>
        <v>0</v>
      </c>
      <c r="N16" s="11" t="n">
        <f aca="false">SUMIFS(Activities!$F$2:$F$190,Activities!$B$2:$B$190,$A16,Activities!$C$2:$C$190,"Personal")</f>
        <v>0</v>
      </c>
      <c r="O16" s="11" t="n">
        <f aca="false">SUMIFS(Activities!$F$2:$F$190,Activities!$B$2:$B$190,$A16,Activities!$C$2:$C$190,"Relationships")</f>
        <v>0</v>
      </c>
      <c r="P16" s="11" t="n">
        <f aca="false">SUMIFS(Activities!$F$2:$F$190,Activities!$B$2:$B$190,$A16,Activities!$C$2:$C$190,"Leisure and creativity")</f>
        <v>0</v>
      </c>
      <c r="Q16" s="10"/>
      <c r="R16" s="11"/>
      <c r="S16" s="11"/>
      <c r="T16" s="11"/>
      <c r="U16" s="11"/>
      <c r="V16" s="11"/>
      <c r="W16" s="11"/>
      <c r="X16" s="16"/>
      <c r="Y16" s="10"/>
      <c r="Z16" s="11" t="n">
        <f aca="false">COUNTIFS(Reflections!$A$2:$A$70,$A16)</f>
        <v>0</v>
      </c>
      <c r="AA16" s="4" t="s">
        <v>82</v>
      </c>
      <c r="AB16" s="11"/>
      <c r="AC16" s="17"/>
    </row>
    <row r="17" customFormat="false" ht="15" hidden="false" customHeight="false" outlineLevel="0" collapsed="false">
      <c r="A17" s="15" t="n">
        <v>46237</v>
      </c>
      <c r="B17" s="4" t="str">
        <f aca="false">INDEX({"Monday","Tuesday","Wednesday","Thursday","Friday","Saturday","Sunday"},WEEKDAY($A17,2))</f>
        <v>Monday</v>
      </c>
      <c r="C17" s="4" t="s">
        <v>78</v>
      </c>
      <c r="D17" s="11" t="n">
        <f aca="false">COUNTIFS(Intentions!$B$2:$B$365,$A17)</f>
        <v>4</v>
      </c>
      <c r="E17" s="11" t="n">
        <f aca="false">COUNTIFS(Intentions!$B$2:$B$365,$A17,Intentions!$H$2:$H$365,"&lt;&gt;Planned")</f>
        <v>4</v>
      </c>
      <c r="F17" s="11" t="n">
        <f aca="false">COUNTIFS(Intentions!$B$2:$B$365,$A17,Intentions!$H$2:$H$365,"Done")+COUNTIFS(Intentions!$B$2:$B$365,$A17,Intentions!$H$2:$H$365,"Partial")</f>
        <v>2</v>
      </c>
      <c r="G17" s="12" t="n">
        <f aca="false">IF(E17=0,"",SUMIFS(Intentions!$K$2:$K$365,Intentions!$B$2:$B$365,$A17)/E17)</f>
        <v>0.5</v>
      </c>
      <c r="H17" s="11" t="n">
        <f aca="false">SUMIFS(Intentions!$G$2:$G$365,Intentions!$B$2:$B$365,$A17)</f>
        <v>125</v>
      </c>
      <c r="I17" s="11" t="n">
        <f aca="false">SUMIFS(Activities!$F$2:$F$190,Activities!$B$2:$B$190,$A17)</f>
        <v>49</v>
      </c>
      <c r="J17" s="11" t="n">
        <f aca="false">SUMIFS(Activities!$F$2:$F$190,Activities!$B$2:$B$190,$A17,Activities!$C$2:$C$190,"Spiritual")</f>
        <v>24</v>
      </c>
      <c r="K17" s="11" t="n">
        <f aca="false">SUMIFS(Activities!$F$2:$F$190,Activities!$B$2:$B$190,$A17,Activities!$C$2:$C$190,"Physical")</f>
        <v>0</v>
      </c>
      <c r="L17" s="11" t="n">
        <f aca="false">SUMIFS(Activities!$F$2:$F$190,Activities!$B$2:$B$190,$A17,Activities!$C$2:$C$190,"Studies")</f>
        <v>0</v>
      </c>
      <c r="M17" s="11" t="n">
        <f aca="false">SUMIFS(Activities!$F$2:$F$190,Activities!$B$2:$B$190,$A17,Activities!$C$2:$C$190,"Professional")</f>
        <v>0</v>
      </c>
      <c r="N17" s="11" t="n">
        <f aca="false">SUMIFS(Activities!$F$2:$F$190,Activities!$B$2:$B$190,$A17,Activities!$C$2:$C$190,"Personal")</f>
        <v>0</v>
      </c>
      <c r="O17" s="11" t="n">
        <f aca="false">SUMIFS(Activities!$F$2:$F$190,Activities!$B$2:$B$190,$A17,Activities!$C$2:$C$190,"Relationships")</f>
        <v>25</v>
      </c>
      <c r="P17" s="11" t="n">
        <f aca="false">SUMIFS(Activities!$F$2:$F$190,Activities!$B$2:$B$190,$A17,Activities!$C$2:$C$190,"Leisure and creativity")</f>
        <v>0</v>
      </c>
      <c r="Q17" s="10" t="n">
        <v>5.9</v>
      </c>
      <c r="R17" s="11"/>
      <c r="S17" s="11" t="n">
        <v>1</v>
      </c>
      <c r="T17" s="11" t="n">
        <v>1</v>
      </c>
      <c r="U17" s="11" t="n">
        <v>3</v>
      </c>
      <c r="V17" s="11" t="n">
        <v>4</v>
      </c>
      <c r="W17" s="11" t="n">
        <v>291</v>
      </c>
      <c r="X17" s="16" t="n">
        <v>8259</v>
      </c>
      <c r="Y17" s="10" t="n">
        <v>1.7</v>
      </c>
      <c r="Z17" s="11" t="n">
        <f aca="false">COUNTIFS(Reflections!$A$2:$A$70,$A17)</f>
        <v>0</v>
      </c>
      <c r="AA17" s="4" t="s">
        <v>80</v>
      </c>
      <c r="AB17" s="11" t="n">
        <v>0</v>
      </c>
      <c r="AC17" s="17"/>
    </row>
    <row r="18" customFormat="false" ht="15" hidden="false" customHeight="false" outlineLevel="0" collapsed="false">
      <c r="A18" s="15" t="n">
        <v>46238</v>
      </c>
      <c r="B18" s="4" t="str">
        <f aca="false">INDEX({"Monday","Tuesday","Wednesday","Thursday","Friday","Saturday","Sunday"},WEEKDAY($A18,2))</f>
        <v>Tuesday</v>
      </c>
      <c r="C18" s="4" t="s">
        <v>78</v>
      </c>
      <c r="D18" s="11" t="n">
        <f aca="false">COUNTIFS(Intentions!$B$2:$B$365,$A18)</f>
        <v>5</v>
      </c>
      <c r="E18" s="11" t="n">
        <f aca="false">COUNTIFS(Intentions!$B$2:$B$365,$A18,Intentions!$H$2:$H$365,"&lt;&gt;Planned")</f>
        <v>5</v>
      </c>
      <c r="F18" s="11" t="n">
        <f aca="false">COUNTIFS(Intentions!$B$2:$B$365,$A18,Intentions!$H$2:$H$365,"Done")+COUNTIFS(Intentions!$B$2:$B$365,$A18,Intentions!$H$2:$H$365,"Partial")</f>
        <v>2</v>
      </c>
      <c r="G18" s="12" t="n">
        <f aca="false">IF(E18=0,"",SUMIFS(Intentions!$K$2:$K$365,Intentions!$B$2:$B$365,$A18)/E18)</f>
        <v>0.4</v>
      </c>
      <c r="H18" s="11" t="n">
        <f aca="false">SUMIFS(Intentions!$G$2:$G$365,Intentions!$B$2:$B$365,$A18)</f>
        <v>300</v>
      </c>
      <c r="I18" s="11" t="n">
        <f aca="false">SUMIFS(Activities!$F$2:$F$190,Activities!$B$2:$B$190,$A18)</f>
        <v>270</v>
      </c>
      <c r="J18" s="11" t="n">
        <f aca="false">SUMIFS(Activities!$F$2:$F$190,Activities!$B$2:$B$190,$A18,Activities!$C$2:$C$190,"Spiritual")</f>
        <v>0</v>
      </c>
      <c r="K18" s="11" t="n">
        <f aca="false">SUMIFS(Activities!$F$2:$F$190,Activities!$B$2:$B$190,$A18,Activities!$C$2:$C$190,"Physical")</f>
        <v>0</v>
      </c>
      <c r="L18" s="11" t="n">
        <f aca="false">SUMIFS(Activities!$F$2:$F$190,Activities!$B$2:$B$190,$A18,Activities!$C$2:$C$190,"Studies")</f>
        <v>270</v>
      </c>
      <c r="M18" s="11" t="n">
        <f aca="false">SUMIFS(Activities!$F$2:$F$190,Activities!$B$2:$B$190,$A18,Activities!$C$2:$C$190,"Professional")</f>
        <v>0</v>
      </c>
      <c r="N18" s="11" t="n">
        <f aca="false">SUMIFS(Activities!$F$2:$F$190,Activities!$B$2:$B$190,$A18,Activities!$C$2:$C$190,"Personal")</f>
        <v>0</v>
      </c>
      <c r="O18" s="11" t="n">
        <f aca="false">SUMIFS(Activities!$F$2:$F$190,Activities!$B$2:$B$190,$A18,Activities!$C$2:$C$190,"Relationships")</f>
        <v>0</v>
      </c>
      <c r="P18" s="11" t="n">
        <f aca="false">SUMIFS(Activities!$F$2:$F$190,Activities!$B$2:$B$190,$A18,Activities!$C$2:$C$190,"Leisure and creativity")</f>
        <v>0</v>
      </c>
      <c r="Q18" s="10" t="n">
        <v>5.4</v>
      </c>
      <c r="R18" s="11"/>
      <c r="S18" s="11" t="n">
        <v>2</v>
      </c>
      <c r="T18" s="11" t="n">
        <v>1</v>
      </c>
      <c r="U18" s="11" t="n">
        <v>4</v>
      </c>
      <c r="V18" s="11" t="n">
        <v>2</v>
      </c>
      <c r="W18" s="11" t="n">
        <v>173</v>
      </c>
      <c r="X18" s="16" t="n">
        <v>8999</v>
      </c>
      <c r="Y18" s="10" t="n">
        <v>1.6</v>
      </c>
      <c r="Z18" s="11" t="n">
        <f aca="false">COUNTIFS(Reflections!$A$2:$A$70,$A18)</f>
        <v>1</v>
      </c>
      <c r="AA18" s="4" t="s">
        <v>80</v>
      </c>
      <c r="AB18" s="11" t="n">
        <v>0</v>
      </c>
      <c r="AC18" s="17"/>
    </row>
    <row r="19" customFormat="false" ht="15" hidden="false" customHeight="false" outlineLevel="0" collapsed="false">
      <c r="A19" s="15" t="n">
        <v>46239</v>
      </c>
      <c r="B19" s="4" t="str">
        <f aca="false">INDEX({"Monday","Tuesday","Wednesday","Thursday","Friday","Saturday","Sunday"},WEEKDAY($A19,2))</f>
        <v>Wednesday</v>
      </c>
      <c r="C19" s="4" t="s">
        <v>78</v>
      </c>
      <c r="D19" s="11" t="n">
        <f aca="false">COUNTIFS(Intentions!$B$2:$B$365,$A19)</f>
        <v>4</v>
      </c>
      <c r="E19" s="11" t="n">
        <f aca="false">COUNTIFS(Intentions!$B$2:$B$365,$A19,Intentions!$H$2:$H$365,"&lt;&gt;Planned")</f>
        <v>4</v>
      </c>
      <c r="F19" s="11" t="n">
        <f aca="false">COUNTIFS(Intentions!$B$2:$B$365,$A19,Intentions!$H$2:$H$365,"Done")+COUNTIFS(Intentions!$B$2:$B$365,$A19,Intentions!$H$2:$H$365,"Partial")</f>
        <v>3</v>
      </c>
      <c r="G19" s="12" t="n">
        <f aca="false">IF(E19=0,"",SUMIFS(Intentions!$K$2:$K$365,Intentions!$B$2:$B$365,$A19)/E19)</f>
        <v>0.75</v>
      </c>
      <c r="H19" s="11" t="n">
        <f aca="false">SUMIFS(Intentions!$G$2:$G$365,Intentions!$B$2:$B$365,$A19)</f>
        <v>250</v>
      </c>
      <c r="I19" s="11" t="n">
        <f aca="false">SUMIFS(Activities!$F$2:$F$190,Activities!$B$2:$B$190,$A19)</f>
        <v>337</v>
      </c>
      <c r="J19" s="11" t="n">
        <f aca="false">SUMIFS(Activities!$F$2:$F$190,Activities!$B$2:$B$190,$A19,Activities!$C$2:$C$190,"Spiritual")</f>
        <v>0</v>
      </c>
      <c r="K19" s="11" t="n">
        <f aca="false">SUMIFS(Activities!$F$2:$F$190,Activities!$B$2:$B$190,$A19,Activities!$C$2:$C$190,"Physical")</f>
        <v>29</v>
      </c>
      <c r="L19" s="11" t="n">
        <f aca="false">SUMIFS(Activities!$F$2:$F$190,Activities!$B$2:$B$190,$A19,Activities!$C$2:$C$190,"Studies")</f>
        <v>248</v>
      </c>
      <c r="M19" s="11" t="n">
        <f aca="false">SUMIFS(Activities!$F$2:$F$190,Activities!$B$2:$B$190,$A19,Activities!$C$2:$C$190,"Professional")</f>
        <v>0</v>
      </c>
      <c r="N19" s="11" t="n">
        <f aca="false">SUMIFS(Activities!$F$2:$F$190,Activities!$B$2:$B$190,$A19,Activities!$C$2:$C$190,"Personal")</f>
        <v>0</v>
      </c>
      <c r="O19" s="11" t="n">
        <f aca="false">SUMIFS(Activities!$F$2:$F$190,Activities!$B$2:$B$190,$A19,Activities!$C$2:$C$190,"Relationships")</f>
        <v>0</v>
      </c>
      <c r="P19" s="11" t="n">
        <f aca="false">SUMIFS(Activities!$F$2:$F$190,Activities!$B$2:$B$190,$A19,Activities!$C$2:$C$190,"Leisure and creativity")</f>
        <v>60</v>
      </c>
      <c r="Q19" s="10" t="n">
        <v>7.6</v>
      </c>
      <c r="R19" s="11"/>
      <c r="S19" s="11" t="n">
        <v>5</v>
      </c>
      <c r="T19" s="11" t="n">
        <v>5</v>
      </c>
      <c r="U19" s="11" t="n">
        <v>4</v>
      </c>
      <c r="V19" s="11" t="n">
        <v>4</v>
      </c>
      <c r="W19" s="11" t="n">
        <v>215</v>
      </c>
      <c r="X19" s="16" t="n">
        <v>3137</v>
      </c>
      <c r="Y19" s="10" t="n">
        <v>2.6</v>
      </c>
      <c r="Z19" s="11" t="n">
        <f aca="false">COUNTIFS(Reflections!$A$2:$A$70,$A19)</f>
        <v>1</v>
      </c>
      <c r="AA19" s="4" t="s">
        <v>80</v>
      </c>
      <c r="AB19" s="11" t="n">
        <v>0</v>
      </c>
      <c r="AC19" s="17"/>
    </row>
    <row r="20" customFormat="false" ht="15" hidden="false" customHeight="false" outlineLevel="0" collapsed="false">
      <c r="A20" s="15" t="n">
        <v>46240</v>
      </c>
      <c r="B20" s="4" t="str">
        <f aca="false">INDEX({"Monday","Tuesday","Wednesday","Thursday","Friday","Saturday","Sunday"},WEEKDAY($A20,2))</f>
        <v>Thursday</v>
      </c>
      <c r="C20" s="4" t="s">
        <v>78</v>
      </c>
      <c r="D20" s="11" t="n">
        <f aca="false">COUNTIFS(Intentions!$B$2:$B$365,$A20)</f>
        <v>4</v>
      </c>
      <c r="E20" s="11" t="n">
        <f aca="false">COUNTIFS(Intentions!$B$2:$B$365,$A20,Intentions!$H$2:$H$365,"&lt;&gt;Planned")</f>
        <v>4</v>
      </c>
      <c r="F20" s="11" t="n">
        <f aca="false">COUNTIFS(Intentions!$B$2:$B$365,$A20,Intentions!$H$2:$H$365,"Done")+COUNTIFS(Intentions!$B$2:$B$365,$A20,Intentions!$H$2:$H$365,"Partial")</f>
        <v>4</v>
      </c>
      <c r="G20" s="12" t="n">
        <f aca="false">IF(E20=0,"",SUMIFS(Intentions!$K$2:$K$365,Intentions!$B$2:$B$365,$A20)/E20)</f>
        <v>1</v>
      </c>
      <c r="H20" s="11" t="n">
        <f aca="false">SUMIFS(Intentions!$G$2:$G$365,Intentions!$B$2:$B$365,$A20)</f>
        <v>240</v>
      </c>
      <c r="I20" s="11" t="n">
        <f aca="false">SUMIFS(Activities!$F$2:$F$190,Activities!$B$2:$B$190,$A20)</f>
        <v>326</v>
      </c>
      <c r="J20" s="11" t="n">
        <f aca="false">SUMIFS(Activities!$F$2:$F$190,Activities!$B$2:$B$190,$A20,Activities!$C$2:$C$190,"Spiritual")</f>
        <v>0</v>
      </c>
      <c r="K20" s="11" t="n">
        <f aca="false">SUMIFS(Activities!$F$2:$F$190,Activities!$B$2:$B$190,$A20,Activities!$C$2:$C$190,"Physical")</f>
        <v>26</v>
      </c>
      <c r="L20" s="11" t="n">
        <f aca="false">SUMIFS(Activities!$F$2:$F$190,Activities!$B$2:$B$190,$A20,Activities!$C$2:$C$190,"Studies")</f>
        <v>221</v>
      </c>
      <c r="M20" s="11" t="n">
        <f aca="false">SUMIFS(Activities!$F$2:$F$190,Activities!$B$2:$B$190,$A20,Activities!$C$2:$C$190,"Professional")</f>
        <v>0</v>
      </c>
      <c r="N20" s="11" t="n">
        <f aca="false">SUMIFS(Activities!$F$2:$F$190,Activities!$B$2:$B$190,$A20,Activities!$C$2:$C$190,"Personal")</f>
        <v>0</v>
      </c>
      <c r="O20" s="11" t="n">
        <f aca="false">SUMIFS(Activities!$F$2:$F$190,Activities!$B$2:$B$190,$A20,Activities!$C$2:$C$190,"Relationships")</f>
        <v>19</v>
      </c>
      <c r="P20" s="11" t="n">
        <f aca="false">SUMIFS(Activities!$F$2:$F$190,Activities!$B$2:$B$190,$A20,Activities!$C$2:$C$190,"Leisure and creativity")</f>
        <v>60</v>
      </c>
      <c r="Q20" s="10" t="n">
        <v>6</v>
      </c>
      <c r="R20" s="11"/>
      <c r="S20" s="11" t="n">
        <v>3</v>
      </c>
      <c r="T20" s="11" t="n">
        <v>5</v>
      </c>
      <c r="U20" s="11" t="n">
        <v>4</v>
      </c>
      <c r="V20" s="11" t="n">
        <v>1</v>
      </c>
      <c r="W20" s="11" t="n">
        <v>181</v>
      </c>
      <c r="X20" s="16" t="n">
        <v>9773</v>
      </c>
      <c r="Y20" s="10" t="n">
        <v>1.3</v>
      </c>
      <c r="Z20" s="11" t="n">
        <f aca="false">COUNTIFS(Reflections!$A$2:$A$70,$A20)</f>
        <v>0</v>
      </c>
      <c r="AA20" s="4" t="s">
        <v>80</v>
      </c>
      <c r="AB20" s="11" t="n">
        <v>0</v>
      </c>
      <c r="AC20" s="17"/>
    </row>
    <row r="21" customFormat="false" ht="15" hidden="false" customHeight="false" outlineLevel="0" collapsed="false">
      <c r="A21" s="15" t="n">
        <v>46241</v>
      </c>
      <c r="B21" s="4" t="str">
        <f aca="false">INDEX({"Monday","Tuesday","Wednesday","Thursday","Friday","Saturday","Sunday"},WEEKDAY($A21,2))</f>
        <v>Friday</v>
      </c>
      <c r="C21" s="4" t="s">
        <v>78</v>
      </c>
      <c r="D21" s="11" t="n">
        <f aca="false">COUNTIFS(Intentions!$B$2:$B$365,$A21)</f>
        <v>5</v>
      </c>
      <c r="E21" s="11" t="n">
        <f aca="false">COUNTIFS(Intentions!$B$2:$B$365,$A21,Intentions!$H$2:$H$365,"&lt;&gt;Planned")</f>
        <v>5</v>
      </c>
      <c r="F21" s="11" t="n">
        <f aca="false">COUNTIFS(Intentions!$B$2:$B$365,$A21,Intentions!$H$2:$H$365,"Done")+COUNTIFS(Intentions!$B$2:$B$365,$A21,Intentions!$H$2:$H$365,"Partial")</f>
        <v>2</v>
      </c>
      <c r="G21" s="12" t="n">
        <f aca="false">IF(E21=0,"",SUMIFS(Intentions!$K$2:$K$365,Intentions!$B$2:$B$365,$A21)/E21)</f>
        <v>0.4</v>
      </c>
      <c r="H21" s="11" t="n">
        <f aca="false">SUMIFS(Intentions!$G$2:$G$365,Intentions!$B$2:$B$365,$A21)</f>
        <v>255</v>
      </c>
      <c r="I21" s="11" t="n">
        <f aca="false">SUMIFS(Activities!$F$2:$F$190,Activities!$B$2:$B$190,$A21)</f>
        <v>46</v>
      </c>
      <c r="J21" s="11" t="n">
        <f aca="false">SUMIFS(Activities!$F$2:$F$190,Activities!$B$2:$B$190,$A21,Activities!$C$2:$C$190,"Spiritual")</f>
        <v>16</v>
      </c>
      <c r="K21" s="11" t="n">
        <f aca="false">SUMIFS(Activities!$F$2:$F$190,Activities!$B$2:$B$190,$A21,Activities!$C$2:$C$190,"Physical")</f>
        <v>30</v>
      </c>
      <c r="L21" s="11" t="n">
        <f aca="false">SUMIFS(Activities!$F$2:$F$190,Activities!$B$2:$B$190,$A21,Activities!$C$2:$C$190,"Studies")</f>
        <v>0</v>
      </c>
      <c r="M21" s="11" t="n">
        <f aca="false">SUMIFS(Activities!$F$2:$F$190,Activities!$B$2:$B$190,$A21,Activities!$C$2:$C$190,"Professional")</f>
        <v>0</v>
      </c>
      <c r="N21" s="11" t="n">
        <f aca="false">SUMIFS(Activities!$F$2:$F$190,Activities!$B$2:$B$190,$A21,Activities!$C$2:$C$190,"Personal")</f>
        <v>0</v>
      </c>
      <c r="O21" s="11" t="n">
        <f aca="false">SUMIFS(Activities!$F$2:$F$190,Activities!$B$2:$B$190,$A21,Activities!$C$2:$C$190,"Relationships")</f>
        <v>0</v>
      </c>
      <c r="P21" s="11" t="n">
        <f aca="false">SUMIFS(Activities!$F$2:$F$190,Activities!$B$2:$B$190,$A21,Activities!$C$2:$C$190,"Leisure and creativity")</f>
        <v>0</v>
      </c>
      <c r="Q21" s="10" t="n">
        <v>6.2</v>
      </c>
      <c r="R21" s="11"/>
      <c r="S21" s="11" t="n">
        <v>3</v>
      </c>
      <c r="T21" s="11" t="n">
        <v>2</v>
      </c>
      <c r="U21" s="11" t="n">
        <v>2</v>
      </c>
      <c r="V21" s="11" t="n">
        <v>3</v>
      </c>
      <c r="W21" s="11" t="n">
        <v>147</v>
      </c>
      <c r="X21" s="16" t="n">
        <v>5833</v>
      </c>
      <c r="Y21" s="10" t="n">
        <v>1.1</v>
      </c>
      <c r="Z21" s="11" t="n">
        <f aca="false">COUNTIFS(Reflections!$A$2:$A$70,$A21)</f>
        <v>1</v>
      </c>
      <c r="AA21" s="4" t="s">
        <v>80</v>
      </c>
      <c r="AB21" s="11" t="n">
        <v>0</v>
      </c>
      <c r="AC21" s="17"/>
    </row>
    <row r="22" customFormat="false" ht="15" hidden="false" customHeight="false" outlineLevel="0" collapsed="false">
      <c r="A22" s="15" t="n">
        <v>46242</v>
      </c>
      <c r="B22" s="4" t="str">
        <f aca="false">INDEX({"Monday","Tuesday","Wednesday","Thursday","Friday","Saturday","Sunday"},WEEKDAY($A22,2))</f>
        <v>Saturday</v>
      </c>
      <c r="C22" s="4" t="s">
        <v>78</v>
      </c>
      <c r="D22" s="11" t="n">
        <f aca="false">COUNTIFS(Intentions!$B$2:$B$365,$A22)</f>
        <v>2</v>
      </c>
      <c r="E22" s="11" t="n">
        <f aca="false">COUNTIFS(Intentions!$B$2:$B$365,$A22,Intentions!$H$2:$H$365,"&lt;&gt;Planned")</f>
        <v>2</v>
      </c>
      <c r="F22" s="11" t="n">
        <f aca="false">COUNTIFS(Intentions!$B$2:$B$365,$A22,Intentions!$H$2:$H$365,"Done")+COUNTIFS(Intentions!$B$2:$B$365,$A22,Intentions!$H$2:$H$365,"Partial")</f>
        <v>2</v>
      </c>
      <c r="G22" s="12" t="n">
        <f aca="false">IF(E22=0,"",SUMIFS(Intentions!$K$2:$K$365,Intentions!$B$2:$B$365,$A22)/E22)</f>
        <v>1</v>
      </c>
      <c r="H22" s="11" t="n">
        <f aca="false">SUMIFS(Intentions!$G$2:$G$365,Intentions!$B$2:$B$365,$A22)</f>
        <v>100</v>
      </c>
      <c r="I22" s="11" t="n">
        <f aca="false">SUMIFS(Activities!$F$2:$F$190,Activities!$B$2:$B$190,$A22)</f>
        <v>181</v>
      </c>
      <c r="J22" s="11" t="n">
        <f aca="false">SUMIFS(Activities!$F$2:$F$190,Activities!$B$2:$B$190,$A22,Activities!$C$2:$C$190,"Spiritual")</f>
        <v>0</v>
      </c>
      <c r="K22" s="11" t="n">
        <f aca="false">SUMIFS(Activities!$F$2:$F$190,Activities!$B$2:$B$190,$A22,Activities!$C$2:$C$190,"Physical")</f>
        <v>40</v>
      </c>
      <c r="L22" s="11" t="n">
        <f aca="false">SUMIFS(Activities!$F$2:$F$190,Activities!$B$2:$B$190,$A22,Activities!$C$2:$C$190,"Studies")</f>
        <v>81</v>
      </c>
      <c r="M22" s="11" t="n">
        <f aca="false">SUMIFS(Activities!$F$2:$F$190,Activities!$B$2:$B$190,$A22,Activities!$C$2:$C$190,"Professional")</f>
        <v>0</v>
      </c>
      <c r="N22" s="11" t="n">
        <f aca="false">SUMIFS(Activities!$F$2:$F$190,Activities!$B$2:$B$190,$A22,Activities!$C$2:$C$190,"Personal")</f>
        <v>0</v>
      </c>
      <c r="O22" s="11" t="n">
        <f aca="false">SUMIFS(Activities!$F$2:$F$190,Activities!$B$2:$B$190,$A22,Activities!$C$2:$C$190,"Relationships")</f>
        <v>0</v>
      </c>
      <c r="P22" s="11" t="n">
        <f aca="false">SUMIFS(Activities!$F$2:$F$190,Activities!$B$2:$B$190,$A22,Activities!$C$2:$C$190,"Leisure and creativity")</f>
        <v>60</v>
      </c>
      <c r="Q22" s="10" t="n">
        <v>7</v>
      </c>
      <c r="R22" s="11"/>
      <c r="S22" s="11" t="n">
        <v>3</v>
      </c>
      <c r="T22" s="11" t="n">
        <v>3</v>
      </c>
      <c r="U22" s="11" t="n">
        <v>4</v>
      </c>
      <c r="V22" s="11" t="n">
        <v>1</v>
      </c>
      <c r="W22" s="11" t="n">
        <v>211</v>
      </c>
      <c r="X22" s="16" t="n">
        <v>6393</v>
      </c>
      <c r="Y22" s="10" t="n">
        <v>2.1</v>
      </c>
      <c r="Z22" s="11" t="n">
        <f aca="false">COUNTIFS(Reflections!$A$2:$A$70,$A22)</f>
        <v>2</v>
      </c>
      <c r="AA22" s="4" t="s">
        <v>80</v>
      </c>
      <c r="AB22" s="11" t="n">
        <v>0</v>
      </c>
      <c r="AC22" s="17" t="s">
        <v>85</v>
      </c>
    </row>
    <row r="23" customFormat="false" ht="15" hidden="false" customHeight="false" outlineLevel="0" collapsed="false">
      <c r="A23" s="15" t="n">
        <v>46243</v>
      </c>
      <c r="B23" s="4" t="str">
        <f aca="false">INDEX({"Monday","Tuesday","Wednesday","Thursday","Friday","Saturday","Sunday"},WEEKDAY($A23,2))</f>
        <v>Sunday</v>
      </c>
      <c r="C23" s="4" t="s">
        <v>78</v>
      </c>
      <c r="D23" s="11" t="n">
        <f aca="false">COUNTIFS(Intentions!$B$2:$B$365,$A23)</f>
        <v>7</v>
      </c>
      <c r="E23" s="11" t="n">
        <f aca="false">COUNTIFS(Intentions!$B$2:$B$365,$A23,Intentions!$H$2:$H$365,"&lt;&gt;Planned")</f>
        <v>7</v>
      </c>
      <c r="F23" s="11" t="n">
        <f aca="false">COUNTIFS(Intentions!$B$2:$B$365,$A23,Intentions!$H$2:$H$365,"Done")+COUNTIFS(Intentions!$B$2:$B$365,$A23,Intentions!$H$2:$H$365,"Partial")</f>
        <v>1</v>
      </c>
      <c r="G23" s="12" t="n">
        <f aca="false">IF(E23=0,"",SUMIFS(Intentions!$K$2:$K$365,Intentions!$B$2:$B$365,$A23)/E23)</f>
        <v>0.142857142857143</v>
      </c>
      <c r="H23" s="11" t="n">
        <f aca="false">SUMIFS(Intentions!$G$2:$G$365,Intentions!$B$2:$B$365,$A23)</f>
        <v>310</v>
      </c>
      <c r="I23" s="11" t="n">
        <f aca="false">SUMIFS(Activities!$F$2:$F$190,Activities!$B$2:$B$190,$A23)</f>
        <v>35</v>
      </c>
      <c r="J23" s="11" t="n">
        <f aca="false">SUMIFS(Activities!$F$2:$F$190,Activities!$B$2:$B$190,$A23,Activities!$C$2:$C$190,"Spiritual")</f>
        <v>0</v>
      </c>
      <c r="K23" s="11" t="n">
        <f aca="false">SUMIFS(Activities!$F$2:$F$190,Activities!$B$2:$B$190,$A23,Activities!$C$2:$C$190,"Physical")</f>
        <v>0</v>
      </c>
      <c r="L23" s="11" t="n">
        <f aca="false">SUMIFS(Activities!$F$2:$F$190,Activities!$B$2:$B$190,$A23,Activities!$C$2:$C$190,"Studies")</f>
        <v>0</v>
      </c>
      <c r="M23" s="11" t="n">
        <f aca="false">SUMIFS(Activities!$F$2:$F$190,Activities!$B$2:$B$190,$A23,Activities!$C$2:$C$190,"Professional")</f>
        <v>0</v>
      </c>
      <c r="N23" s="11" t="n">
        <f aca="false">SUMIFS(Activities!$F$2:$F$190,Activities!$B$2:$B$190,$A23,Activities!$C$2:$C$190,"Personal")</f>
        <v>35</v>
      </c>
      <c r="O23" s="11" t="n">
        <f aca="false">SUMIFS(Activities!$F$2:$F$190,Activities!$B$2:$B$190,$A23,Activities!$C$2:$C$190,"Relationships")</f>
        <v>0</v>
      </c>
      <c r="P23" s="11" t="n">
        <f aca="false">SUMIFS(Activities!$F$2:$F$190,Activities!$B$2:$B$190,$A23,Activities!$C$2:$C$190,"Leisure and creativity")</f>
        <v>0</v>
      </c>
      <c r="Q23" s="10" t="n">
        <v>7.6</v>
      </c>
      <c r="R23" s="11"/>
      <c r="S23" s="11" t="n">
        <v>3</v>
      </c>
      <c r="T23" s="11" t="n">
        <v>3</v>
      </c>
      <c r="U23" s="11" t="n">
        <v>2</v>
      </c>
      <c r="V23" s="11" t="n">
        <v>2</v>
      </c>
      <c r="W23" s="11" t="n">
        <v>193</v>
      </c>
      <c r="X23" s="16" t="n">
        <v>11192</v>
      </c>
      <c r="Y23" s="10" t="n">
        <v>2.1</v>
      </c>
      <c r="Z23" s="11" t="n">
        <f aca="false">COUNTIFS(Reflections!$A$2:$A$70,$A23)</f>
        <v>3</v>
      </c>
      <c r="AA23" s="4" t="s">
        <v>80</v>
      </c>
      <c r="AB23" s="11" t="n">
        <v>0</v>
      </c>
      <c r="AC23" s="17"/>
    </row>
    <row r="24" customFormat="false" ht="15" hidden="false" customHeight="false" outlineLevel="0" collapsed="false">
      <c r="A24" s="15" t="n">
        <v>46244</v>
      </c>
      <c r="B24" s="4" t="str">
        <f aca="false">INDEX({"Monday","Tuesday","Wednesday","Thursday","Friday","Saturday","Sunday"},WEEKDAY($A24,2))</f>
        <v>Monday</v>
      </c>
      <c r="C24" s="4" t="s">
        <v>78</v>
      </c>
      <c r="D24" s="11" t="n">
        <f aca="false">COUNTIFS(Intentions!$B$2:$B$365,$A24)</f>
        <v>5</v>
      </c>
      <c r="E24" s="11" t="n">
        <f aca="false">COUNTIFS(Intentions!$B$2:$B$365,$A24,Intentions!$H$2:$H$365,"&lt;&gt;Planned")</f>
        <v>5</v>
      </c>
      <c r="F24" s="11" t="n">
        <f aca="false">COUNTIFS(Intentions!$B$2:$B$365,$A24,Intentions!$H$2:$H$365,"Done")+COUNTIFS(Intentions!$B$2:$B$365,$A24,Intentions!$H$2:$H$365,"Partial")</f>
        <v>4</v>
      </c>
      <c r="G24" s="12" t="n">
        <f aca="false">IF(E24=0,"",SUMIFS(Intentions!$K$2:$K$365,Intentions!$B$2:$B$365,$A24)/E24)</f>
        <v>0.8</v>
      </c>
      <c r="H24" s="11" t="n">
        <f aca="false">SUMIFS(Intentions!$G$2:$G$365,Intentions!$B$2:$B$365,$A24)</f>
        <v>185</v>
      </c>
      <c r="I24" s="11" t="n">
        <f aca="false">SUMIFS(Activities!$F$2:$F$190,Activities!$B$2:$B$190,$A24)</f>
        <v>159</v>
      </c>
      <c r="J24" s="11" t="n">
        <f aca="false">SUMIFS(Activities!$F$2:$F$190,Activities!$B$2:$B$190,$A24,Activities!$C$2:$C$190,"Spiritual")</f>
        <v>18</v>
      </c>
      <c r="K24" s="11" t="n">
        <f aca="false">SUMIFS(Activities!$F$2:$F$190,Activities!$B$2:$B$190,$A24,Activities!$C$2:$C$190,"Physical")</f>
        <v>0</v>
      </c>
      <c r="L24" s="11" t="n">
        <f aca="false">SUMIFS(Activities!$F$2:$F$190,Activities!$B$2:$B$190,$A24,Activities!$C$2:$C$190,"Studies")</f>
        <v>110</v>
      </c>
      <c r="M24" s="11" t="n">
        <f aca="false">SUMIFS(Activities!$F$2:$F$190,Activities!$B$2:$B$190,$A24,Activities!$C$2:$C$190,"Professional")</f>
        <v>0</v>
      </c>
      <c r="N24" s="11" t="n">
        <f aca="false">SUMIFS(Activities!$F$2:$F$190,Activities!$B$2:$B$190,$A24,Activities!$C$2:$C$190,"Personal")</f>
        <v>0</v>
      </c>
      <c r="O24" s="11" t="n">
        <f aca="false">SUMIFS(Activities!$F$2:$F$190,Activities!$B$2:$B$190,$A24,Activities!$C$2:$C$190,"Relationships")</f>
        <v>31</v>
      </c>
      <c r="P24" s="11" t="n">
        <f aca="false">SUMIFS(Activities!$F$2:$F$190,Activities!$B$2:$B$190,$A24,Activities!$C$2:$C$190,"Leisure and creativity")</f>
        <v>0</v>
      </c>
      <c r="Q24" s="10" t="n">
        <v>7.6</v>
      </c>
      <c r="R24" s="11"/>
      <c r="S24" s="11" t="n">
        <v>4</v>
      </c>
      <c r="T24" s="11" t="n">
        <v>5</v>
      </c>
      <c r="U24" s="11" t="n">
        <v>5</v>
      </c>
      <c r="V24" s="11" t="n">
        <v>1</v>
      </c>
      <c r="W24" s="11" t="n">
        <v>303</v>
      </c>
      <c r="X24" s="16" t="n">
        <v>8475</v>
      </c>
      <c r="Y24" s="10" t="n">
        <v>1.7</v>
      </c>
      <c r="Z24" s="11" t="n">
        <f aca="false">COUNTIFS(Reflections!$A$2:$A$70,$A24)</f>
        <v>1</v>
      </c>
      <c r="AA24" s="4" t="s">
        <v>80</v>
      </c>
      <c r="AB24" s="11" t="n">
        <v>0</v>
      </c>
      <c r="AC24" s="17"/>
    </row>
    <row r="25" customFormat="false" ht="15" hidden="false" customHeight="false" outlineLevel="0" collapsed="false">
      <c r="A25" s="15" t="n">
        <v>46245</v>
      </c>
      <c r="B25" s="4" t="str">
        <f aca="false">INDEX({"Monday","Tuesday","Wednesday","Thursday","Friday","Saturday","Sunday"},WEEKDAY($A25,2))</f>
        <v>Tuesday</v>
      </c>
      <c r="C25" s="4" t="s">
        <v>78</v>
      </c>
      <c r="D25" s="11" t="n">
        <f aca="false">COUNTIFS(Intentions!$B$2:$B$365,$A25)</f>
        <v>7</v>
      </c>
      <c r="E25" s="11" t="n">
        <f aca="false">COUNTIFS(Intentions!$B$2:$B$365,$A25,Intentions!$H$2:$H$365,"&lt;&gt;Planned")</f>
        <v>7</v>
      </c>
      <c r="F25" s="11" t="n">
        <f aca="false">COUNTIFS(Intentions!$B$2:$B$365,$A25,Intentions!$H$2:$H$365,"Done")+COUNTIFS(Intentions!$B$2:$B$365,$A25,Intentions!$H$2:$H$365,"Partial")</f>
        <v>2</v>
      </c>
      <c r="G25" s="12" t="n">
        <f aca="false">IF(E25=0,"",SUMIFS(Intentions!$K$2:$K$365,Intentions!$B$2:$B$365,$A25)/E25)</f>
        <v>0.214285714285714</v>
      </c>
      <c r="H25" s="11" t="n">
        <f aca="false">SUMIFS(Intentions!$G$2:$G$365,Intentions!$B$2:$B$365,$A25)</f>
        <v>390</v>
      </c>
      <c r="I25" s="11" t="n">
        <f aca="false">SUMIFS(Activities!$F$2:$F$190,Activities!$B$2:$B$190,$A25)</f>
        <v>121</v>
      </c>
      <c r="J25" s="11" t="n">
        <f aca="false">SUMIFS(Activities!$F$2:$F$190,Activities!$B$2:$B$190,$A25,Activities!$C$2:$C$190,"Spiritual")</f>
        <v>0</v>
      </c>
      <c r="K25" s="11" t="n">
        <f aca="false">SUMIFS(Activities!$F$2:$F$190,Activities!$B$2:$B$190,$A25,Activities!$C$2:$C$190,"Physical")</f>
        <v>0</v>
      </c>
      <c r="L25" s="11" t="n">
        <f aca="false">SUMIFS(Activities!$F$2:$F$190,Activities!$B$2:$B$190,$A25,Activities!$C$2:$C$190,"Studies")</f>
        <v>54</v>
      </c>
      <c r="M25" s="11" t="n">
        <f aca="false">SUMIFS(Activities!$F$2:$F$190,Activities!$B$2:$B$190,$A25,Activities!$C$2:$C$190,"Professional")</f>
        <v>67</v>
      </c>
      <c r="N25" s="11" t="n">
        <f aca="false">SUMIFS(Activities!$F$2:$F$190,Activities!$B$2:$B$190,$A25,Activities!$C$2:$C$190,"Personal")</f>
        <v>0</v>
      </c>
      <c r="O25" s="11" t="n">
        <f aca="false">SUMIFS(Activities!$F$2:$F$190,Activities!$B$2:$B$190,$A25,Activities!$C$2:$C$190,"Relationships")</f>
        <v>0</v>
      </c>
      <c r="P25" s="11" t="n">
        <f aca="false">SUMIFS(Activities!$F$2:$F$190,Activities!$B$2:$B$190,$A25,Activities!$C$2:$C$190,"Leisure and creativity")</f>
        <v>0</v>
      </c>
      <c r="Q25" s="10" t="n">
        <v>7.5</v>
      </c>
      <c r="R25" s="11"/>
      <c r="S25" s="11" t="n">
        <v>3</v>
      </c>
      <c r="T25" s="11" t="n">
        <v>2</v>
      </c>
      <c r="U25" s="11" t="n">
        <v>2</v>
      </c>
      <c r="V25" s="11" t="n">
        <v>3</v>
      </c>
      <c r="W25" s="11" t="n">
        <v>209</v>
      </c>
      <c r="X25" s="16" t="n">
        <v>6843</v>
      </c>
      <c r="Y25" s="10" t="n">
        <v>2.1</v>
      </c>
      <c r="Z25" s="11" t="n">
        <f aca="false">COUNTIFS(Reflections!$A$2:$A$70,$A25)</f>
        <v>1</v>
      </c>
      <c r="AA25" s="4" t="s">
        <v>80</v>
      </c>
      <c r="AB25" s="11" t="n">
        <v>0</v>
      </c>
      <c r="AC25" s="17"/>
    </row>
    <row r="26" customFormat="false" ht="15" hidden="false" customHeight="false" outlineLevel="0" collapsed="false">
      <c r="A26" s="15" t="n">
        <v>46246</v>
      </c>
      <c r="B26" s="4" t="str">
        <f aca="false">INDEX({"Monday","Tuesday","Wednesday","Thursday","Friday","Saturday","Sunday"},WEEKDAY($A26,2))</f>
        <v>Wednesday</v>
      </c>
      <c r="C26" s="4" t="s">
        <v>78</v>
      </c>
      <c r="D26" s="11" t="n">
        <f aca="false">COUNTIFS(Intentions!$B$2:$B$365,$A26)</f>
        <v>7</v>
      </c>
      <c r="E26" s="11" t="n">
        <f aca="false">COUNTIFS(Intentions!$B$2:$B$365,$A26,Intentions!$H$2:$H$365,"&lt;&gt;Planned")</f>
        <v>7</v>
      </c>
      <c r="F26" s="11" t="n">
        <f aca="false">COUNTIFS(Intentions!$B$2:$B$365,$A26,Intentions!$H$2:$H$365,"Done")+COUNTIFS(Intentions!$B$2:$B$365,$A26,Intentions!$H$2:$H$365,"Partial")</f>
        <v>1</v>
      </c>
      <c r="G26" s="12" t="n">
        <f aca="false">IF(E26=0,"",SUMIFS(Intentions!$K$2:$K$365,Intentions!$B$2:$B$365,$A26)/E26)</f>
        <v>0.142857142857143</v>
      </c>
      <c r="H26" s="11" t="n">
        <f aca="false">SUMIFS(Intentions!$G$2:$G$365,Intentions!$B$2:$B$365,$A26)</f>
        <v>390</v>
      </c>
      <c r="I26" s="11" t="n">
        <f aca="false">SUMIFS(Activities!$F$2:$F$190,Activities!$B$2:$B$190,$A26)</f>
        <v>90</v>
      </c>
      <c r="J26" s="11" t="n">
        <f aca="false">SUMIFS(Activities!$F$2:$F$190,Activities!$B$2:$B$190,$A26,Activities!$C$2:$C$190,"Spiritual")</f>
        <v>0</v>
      </c>
      <c r="K26" s="11" t="n">
        <f aca="false">SUMIFS(Activities!$F$2:$F$190,Activities!$B$2:$B$190,$A26,Activities!$C$2:$C$190,"Physical")</f>
        <v>30</v>
      </c>
      <c r="L26" s="11" t="n">
        <f aca="false">SUMIFS(Activities!$F$2:$F$190,Activities!$B$2:$B$190,$A26,Activities!$C$2:$C$190,"Studies")</f>
        <v>0</v>
      </c>
      <c r="M26" s="11" t="n">
        <f aca="false">SUMIFS(Activities!$F$2:$F$190,Activities!$B$2:$B$190,$A26,Activities!$C$2:$C$190,"Professional")</f>
        <v>0</v>
      </c>
      <c r="N26" s="11" t="n">
        <f aca="false">SUMIFS(Activities!$F$2:$F$190,Activities!$B$2:$B$190,$A26,Activities!$C$2:$C$190,"Personal")</f>
        <v>0</v>
      </c>
      <c r="O26" s="11" t="n">
        <f aca="false">SUMIFS(Activities!$F$2:$F$190,Activities!$B$2:$B$190,$A26,Activities!$C$2:$C$190,"Relationships")</f>
        <v>0</v>
      </c>
      <c r="P26" s="11" t="n">
        <f aca="false">SUMIFS(Activities!$F$2:$F$190,Activities!$B$2:$B$190,$A26,Activities!$C$2:$C$190,"Leisure and creativity")</f>
        <v>60</v>
      </c>
      <c r="Q26" s="10" t="n">
        <v>5.8</v>
      </c>
      <c r="R26" s="11"/>
      <c r="S26" s="11" t="n">
        <v>3</v>
      </c>
      <c r="T26" s="11" t="n">
        <v>3</v>
      </c>
      <c r="U26" s="11" t="n">
        <v>3</v>
      </c>
      <c r="V26" s="11" t="n">
        <v>2</v>
      </c>
      <c r="W26" s="11" t="n">
        <v>182</v>
      </c>
      <c r="X26" s="16" t="n">
        <v>10482</v>
      </c>
      <c r="Y26" s="10" t="n">
        <v>1.9</v>
      </c>
      <c r="Z26" s="11" t="n">
        <f aca="false">COUNTIFS(Reflections!$A$2:$A$70,$A26)</f>
        <v>0</v>
      </c>
      <c r="AA26" s="4" t="s">
        <v>80</v>
      </c>
      <c r="AB26" s="11" t="n">
        <v>0</v>
      </c>
      <c r="AC26" s="17"/>
    </row>
    <row r="27" customFormat="false" ht="15" hidden="false" customHeight="false" outlineLevel="0" collapsed="false">
      <c r="A27" s="15" t="n">
        <v>46247</v>
      </c>
      <c r="B27" s="4" t="str">
        <f aca="false">INDEX({"Monday","Tuesday","Wednesday","Thursday","Friday","Saturday","Sunday"},WEEKDAY($A27,2))</f>
        <v>Thursday</v>
      </c>
      <c r="C27" s="4" t="s">
        <v>78</v>
      </c>
      <c r="D27" s="11" t="n">
        <f aca="false">COUNTIFS(Intentions!$B$2:$B$365,$A27)</f>
        <v>7</v>
      </c>
      <c r="E27" s="11" t="n">
        <f aca="false">COUNTIFS(Intentions!$B$2:$B$365,$A27,Intentions!$H$2:$H$365,"&lt;&gt;Planned")</f>
        <v>7</v>
      </c>
      <c r="F27" s="11" t="n">
        <f aca="false">COUNTIFS(Intentions!$B$2:$B$365,$A27,Intentions!$H$2:$H$365,"Done")+COUNTIFS(Intentions!$B$2:$B$365,$A27,Intentions!$H$2:$H$365,"Partial")</f>
        <v>4</v>
      </c>
      <c r="G27" s="12" t="n">
        <f aca="false">IF(E27=0,"",SUMIFS(Intentions!$K$2:$K$365,Intentions!$B$2:$B$365,$A27)/E27)</f>
        <v>0.571428571428571</v>
      </c>
      <c r="H27" s="11" t="n">
        <f aca="false">SUMIFS(Intentions!$G$2:$G$365,Intentions!$B$2:$B$365,$A27)</f>
        <v>300</v>
      </c>
      <c r="I27" s="11" t="n">
        <f aca="false">SUMIFS(Activities!$F$2:$F$190,Activities!$B$2:$B$190,$A27)</f>
        <v>322</v>
      </c>
      <c r="J27" s="11" t="n">
        <f aca="false">SUMIFS(Activities!$F$2:$F$190,Activities!$B$2:$B$190,$A27,Activities!$C$2:$C$190,"Spiritual")</f>
        <v>0</v>
      </c>
      <c r="K27" s="11" t="n">
        <f aca="false">SUMIFS(Activities!$F$2:$F$190,Activities!$B$2:$B$190,$A27,Activities!$C$2:$C$190,"Physical")</f>
        <v>25</v>
      </c>
      <c r="L27" s="11" t="n">
        <f aca="false">SUMIFS(Activities!$F$2:$F$190,Activities!$B$2:$B$190,$A27,Activities!$C$2:$C$190,"Studies")</f>
        <v>58</v>
      </c>
      <c r="M27" s="11" t="n">
        <f aca="false">SUMIFS(Activities!$F$2:$F$190,Activities!$B$2:$B$190,$A27,Activities!$C$2:$C$190,"Professional")</f>
        <v>89</v>
      </c>
      <c r="N27" s="11" t="n">
        <f aca="false">SUMIFS(Activities!$F$2:$F$190,Activities!$B$2:$B$190,$A27,Activities!$C$2:$C$190,"Personal")</f>
        <v>30</v>
      </c>
      <c r="O27" s="11" t="n">
        <f aca="false">SUMIFS(Activities!$F$2:$F$190,Activities!$B$2:$B$190,$A27,Activities!$C$2:$C$190,"Relationships")</f>
        <v>0</v>
      </c>
      <c r="P27" s="11" t="n">
        <f aca="false">SUMIFS(Activities!$F$2:$F$190,Activities!$B$2:$B$190,$A27,Activities!$C$2:$C$190,"Leisure and creativity")</f>
        <v>120</v>
      </c>
      <c r="Q27" s="10" t="n">
        <v>7.3</v>
      </c>
      <c r="R27" s="11"/>
      <c r="S27" s="11" t="n">
        <v>3</v>
      </c>
      <c r="T27" s="11" t="n">
        <v>3</v>
      </c>
      <c r="U27" s="11" t="n">
        <v>4</v>
      </c>
      <c r="V27" s="11" t="n">
        <v>3</v>
      </c>
      <c r="W27" s="11" t="n">
        <v>217</v>
      </c>
      <c r="X27" s="16" t="n">
        <v>9590</v>
      </c>
      <c r="Y27" s="10" t="n">
        <v>1.5</v>
      </c>
      <c r="Z27" s="11" t="n">
        <f aca="false">COUNTIFS(Reflections!$A$2:$A$70,$A27)</f>
        <v>0</v>
      </c>
      <c r="AA27" s="4" t="s">
        <v>80</v>
      </c>
      <c r="AB27" s="11" t="n">
        <v>0</v>
      </c>
      <c r="AC27" s="17"/>
    </row>
    <row r="28" customFormat="false" ht="15" hidden="false" customHeight="false" outlineLevel="0" collapsed="false">
      <c r="A28" s="15" t="n">
        <v>46248</v>
      </c>
      <c r="B28" s="4" t="str">
        <f aca="false">INDEX({"Monday","Tuesday","Wednesday","Thursday","Friday","Saturday","Sunday"},WEEKDAY($A28,2))</f>
        <v>Friday</v>
      </c>
      <c r="C28" s="4" t="s">
        <v>78</v>
      </c>
      <c r="D28" s="11" t="n">
        <f aca="false">COUNTIFS(Intentions!$B$2:$B$365,$A28)</f>
        <v>3</v>
      </c>
      <c r="E28" s="11" t="n">
        <f aca="false">COUNTIFS(Intentions!$B$2:$B$365,$A28,Intentions!$H$2:$H$365,"&lt;&gt;Planned")</f>
        <v>3</v>
      </c>
      <c r="F28" s="11" t="n">
        <f aca="false">COUNTIFS(Intentions!$B$2:$B$365,$A28,Intentions!$H$2:$H$365,"Done")+COUNTIFS(Intentions!$B$2:$B$365,$A28,Intentions!$H$2:$H$365,"Partial")</f>
        <v>1</v>
      </c>
      <c r="G28" s="12" t="n">
        <f aca="false">IF(E28=0,"",SUMIFS(Intentions!$K$2:$K$365,Intentions!$B$2:$B$365,$A28)/E28)</f>
        <v>0.333333333333333</v>
      </c>
      <c r="H28" s="11" t="n">
        <f aca="false">SUMIFS(Intentions!$G$2:$G$365,Intentions!$B$2:$B$365,$A28)</f>
        <v>145</v>
      </c>
      <c r="I28" s="11" t="n">
        <f aca="false">SUMIFS(Activities!$F$2:$F$190,Activities!$B$2:$B$190,$A28)</f>
        <v>66</v>
      </c>
      <c r="J28" s="11" t="n">
        <f aca="false">SUMIFS(Activities!$F$2:$F$190,Activities!$B$2:$B$190,$A28,Activities!$C$2:$C$190,"Spiritual")</f>
        <v>0</v>
      </c>
      <c r="K28" s="11" t="n">
        <f aca="false">SUMIFS(Activities!$F$2:$F$190,Activities!$B$2:$B$190,$A28,Activities!$C$2:$C$190,"Physical")</f>
        <v>0</v>
      </c>
      <c r="L28" s="11" t="n">
        <f aca="false">SUMIFS(Activities!$F$2:$F$190,Activities!$B$2:$B$190,$A28,Activities!$C$2:$C$190,"Studies")</f>
        <v>0</v>
      </c>
      <c r="M28" s="11" t="n">
        <f aca="false">SUMIFS(Activities!$F$2:$F$190,Activities!$B$2:$B$190,$A28,Activities!$C$2:$C$190,"Professional")</f>
        <v>66</v>
      </c>
      <c r="N28" s="11" t="n">
        <f aca="false">SUMIFS(Activities!$F$2:$F$190,Activities!$B$2:$B$190,$A28,Activities!$C$2:$C$190,"Personal")</f>
        <v>0</v>
      </c>
      <c r="O28" s="11" t="n">
        <f aca="false">SUMIFS(Activities!$F$2:$F$190,Activities!$B$2:$B$190,$A28,Activities!$C$2:$C$190,"Relationships")</f>
        <v>0</v>
      </c>
      <c r="P28" s="11" t="n">
        <f aca="false">SUMIFS(Activities!$F$2:$F$190,Activities!$B$2:$B$190,$A28,Activities!$C$2:$C$190,"Leisure and creativity")</f>
        <v>0</v>
      </c>
      <c r="Q28" s="10" t="n">
        <v>7.8</v>
      </c>
      <c r="R28" s="11"/>
      <c r="S28" s="11" t="n">
        <v>4</v>
      </c>
      <c r="T28" s="11" t="n">
        <v>5</v>
      </c>
      <c r="U28" s="11" t="n">
        <v>3</v>
      </c>
      <c r="V28" s="11" t="n">
        <v>4</v>
      </c>
      <c r="W28" s="11" t="n">
        <v>226</v>
      </c>
      <c r="X28" s="16" t="n">
        <v>7093</v>
      </c>
      <c r="Y28" s="10" t="n">
        <v>1.4</v>
      </c>
      <c r="Z28" s="11" t="n">
        <f aca="false">COUNTIFS(Reflections!$A$2:$A$70,$A28)</f>
        <v>1</v>
      </c>
      <c r="AA28" s="4" t="s">
        <v>80</v>
      </c>
      <c r="AB28" s="11" t="n">
        <v>0</v>
      </c>
      <c r="AC28" s="17"/>
    </row>
    <row r="29" customFormat="false" ht="15" hidden="false" customHeight="false" outlineLevel="0" collapsed="false">
      <c r="A29" s="15" t="n">
        <v>46249</v>
      </c>
      <c r="B29" s="4" t="str">
        <f aca="false">INDEX({"Monday","Tuesday","Wednesday","Thursday","Friday","Saturday","Sunday"},WEEKDAY($A29,2))</f>
        <v>Saturday</v>
      </c>
      <c r="C29" s="4" t="s">
        <v>78</v>
      </c>
      <c r="D29" s="11" t="n">
        <f aca="false">COUNTIFS(Intentions!$B$2:$B$365,$A29)</f>
        <v>7</v>
      </c>
      <c r="E29" s="11" t="n">
        <f aca="false">COUNTIFS(Intentions!$B$2:$B$365,$A29,Intentions!$H$2:$H$365,"&lt;&gt;Planned")</f>
        <v>7</v>
      </c>
      <c r="F29" s="11" t="n">
        <f aca="false">COUNTIFS(Intentions!$B$2:$B$365,$A29,Intentions!$H$2:$H$365,"Done")+COUNTIFS(Intentions!$B$2:$B$365,$A29,Intentions!$H$2:$H$365,"Partial")</f>
        <v>3</v>
      </c>
      <c r="G29" s="12" t="n">
        <f aca="false">IF(E29=0,"",SUMIFS(Intentions!$K$2:$K$365,Intentions!$B$2:$B$365,$A29)/E29)</f>
        <v>0.357142857142857</v>
      </c>
      <c r="H29" s="11" t="n">
        <f aca="false">SUMIFS(Intentions!$G$2:$G$365,Intentions!$B$2:$B$365,$A29)</f>
        <v>255</v>
      </c>
      <c r="I29" s="11" t="n">
        <f aca="false">SUMIFS(Activities!$F$2:$F$190,Activities!$B$2:$B$190,$A29)</f>
        <v>128</v>
      </c>
      <c r="J29" s="11" t="n">
        <f aca="false">SUMIFS(Activities!$F$2:$F$190,Activities!$B$2:$B$190,$A29,Activities!$C$2:$C$190,"Spiritual")</f>
        <v>0</v>
      </c>
      <c r="K29" s="11" t="n">
        <f aca="false">SUMIFS(Activities!$F$2:$F$190,Activities!$B$2:$B$190,$A29,Activities!$C$2:$C$190,"Physical")</f>
        <v>24</v>
      </c>
      <c r="L29" s="11" t="n">
        <f aca="false">SUMIFS(Activities!$F$2:$F$190,Activities!$B$2:$B$190,$A29,Activities!$C$2:$C$190,"Studies")</f>
        <v>80</v>
      </c>
      <c r="M29" s="11" t="n">
        <f aca="false">SUMIFS(Activities!$F$2:$F$190,Activities!$B$2:$B$190,$A29,Activities!$C$2:$C$190,"Professional")</f>
        <v>0</v>
      </c>
      <c r="N29" s="11" t="n">
        <f aca="false">SUMIFS(Activities!$F$2:$F$190,Activities!$B$2:$B$190,$A29,Activities!$C$2:$C$190,"Personal")</f>
        <v>0</v>
      </c>
      <c r="O29" s="11" t="n">
        <f aca="false">SUMIFS(Activities!$F$2:$F$190,Activities!$B$2:$B$190,$A29,Activities!$C$2:$C$190,"Relationships")</f>
        <v>24</v>
      </c>
      <c r="P29" s="11" t="n">
        <f aca="false">SUMIFS(Activities!$F$2:$F$190,Activities!$B$2:$B$190,$A29,Activities!$C$2:$C$190,"Leisure and creativity")</f>
        <v>0</v>
      </c>
      <c r="Q29" s="10" t="n">
        <v>5.5</v>
      </c>
      <c r="R29" s="11"/>
      <c r="S29" s="11" t="n">
        <v>4</v>
      </c>
      <c r="T29" s="11" t="n">
        <v>3</v>
      </c>
      <c r="U29" s="11" t="n">
        <v>2</v>
      </c>
      <c r="V29" s="11" t="n">
        <v>3</v>
      </c>
      <c r="W29" s="11" t="n">
        <v>188</v>
      </c>
      <c r="X29" s="16" t="n">
        <v>5797</v>
      </c>
      <c r="Y29" s="10" t="n">
        <v>1.6</v>
      </c>
      <c r="Z29" s="11" t="n">
        <f aca="false">COUNTIFS(Reflections!$A$2:$A$70,$A29)</f>
        <v>1</v>
      </c>
      <c r="AA29" s="4" t="s">
        <v>80</v>
      </c>
      <c r="AB29" s="11" t="n">
        <v>0</v>
      </c>
      <c r="AC29" s="17"/>
    </row>
    <row r="30" customFormat="false" ht="15" hidden="false" customHeight="false" outlineLevel="0" collapsed="false">
      <c r="A30" s="15" t="n">
        <v>46250</v>
      </c>
      <c r="B30" s="4" t="str">
        <f aca="false">INDEX({"Monday","Tuesday","Wednesday","Thursday","Friday","Saturday","Sunday"},WEEKDAY($A30,2))</f>
        <v>Sunday</v>
      </c>
      <c r="C30" s="4" t="s">
        <v>78</v>
      </c>
      <c r="D30" s="11" t="n">
        <f aca="false">COUNTIFS(Intentions!$B$2:$B$365,$A30)</f>
        <v>4</v>
      </c>
      <c r="E30" s="11" t="n">
        <f aca="false">COUNTIFS(Intentions!$B$2:$B$365,$A30,Intentions!$H$2:$H$365,"&lt;&gt;Planned")</f>
        <v>4</v>
      </c>
      <c r="F30" s="11" t="n">
        <f aca="false">COUNTIFS(Intentions!$B$2:$B$365,$A30,Intentions!$H$2:$H$365,"Done")+COUNTIFS(Intentions!$B$2:$B$365,$A30,Intentions!$H$2:$H$365,"Partial")</f>
        <v>4</v>
      </c>
      <c r="G30" s="12" t="n">
        <f aca="false">IF(E30=0,"",SUMIFS(Intentions!$K$2:$K$365,Intentions!$B$2:$B$365,$A30)/E30)</f>
        <v>1</v>
      </c>
      <c r="H30" s="11" t="n">
        <f aca="false">SUMIFS(Intentions!$G$2:$G$365,Intentions!$B$2:$B$365,$A30)</f>
        <v>140</v>
      </c>
      <c r="I30" s="11" t="n">
        <f aca="false">SUMIFS(Activities!$F$2:$F$190,Activities!$B$2:$B$190,$A30)</f>
        <v>148</v>
      </c>
      <c r="J30" s="11" t="n">
        <f aca="false">SUMIFS(Activities!$F$2:$F$190,Activities!$B$2:$B$190,$A30,Activities!$C$2:$C$190,"Spiritual")</f>
        <v>19</v>
      </c>
      <c r="K30" s="11" t="n">
        <f aca="false">SUMIFS(Activities!$F$2:$F$190,Activities!$B$2:$B$190,$A30,Activities!$C$2:$C$190,"Physical")</f>
        <v>33</v>
      </c>
      <c r="L30" s="11" t="n">
        <f aca="false">SUMIFS(Activities!$F$2:$F$190,Activities!$B$2:$B$190,$A30,Activities!$C$2:$C$190,"Studies")</f>
        <v>72</v>
      </c>
      <c r="M30" s="11" t="n">
        <f aca="false">SUMIFS(Activities!$F$2:$F$190,Activities!$B$2:$B$190,$A30,Activities!$C$2:$C$190,"Professional")</f>
        <v>0</v>
      </c>
      <c r="N30" s="11" t="n">
        <f aca="false">SUMIFS(Activities!$F$2:$F$190,Activities!$B$2:$B$190,$A30,Activities!$C$2:$C$190,"Personal")</f>
        <v>24</v>
      </c>
      <c r="O30" s="11" t="n">
        <f aca="false">SUMIFS(Activities!$F$2:$F$190,Activities!$B$2:$B$190,$A30,Activities!$C$2:$C$190,"Relationships")</f>
        <v>0</v>
      </c>
      <c r="P30" s="11" t="n">
        <f aca="false">SUMIFS(Activities!$F$2:$F$190,Activities!$B$2:$B$190,$A30,Activities!$C$2:$C$190,"Leisure and creativity")</f>
        <v>0</v>
      </c>
      <c r="Q30" s="10" t="n">
        <v>7.6</v>
      </c>
      <c r="R30" s="11"/>
      <c r="S30" s="11" t="n">
        <v>3</v>
      </c>
      <c r="T30" s="11" t="n">
        <v>3</v>
      </c>
      <c r="U30" s="11" t="n">
        <v>5</v>
      </c>
      <c r="V30" s="11" t="n">
        <v>3</v>
      </c>
      <c r="W30" s="11" t="n">
        <v>311</v>
      </c>
      <c r="X30" s="16" t="n">
        <v>4473</v>
      </c>
      <c r="Y30" s="10" t="n">
        <v>1.8</v>
      </c>
      <c r="Z30" s="11" t="n">
        <f aca="false">COUNTIFS(Reflections!$A$2:$A$70,$A30)</f>
        <v>1</v>
      </c>
      <c r="AA30" s="4" t="s">
        <v>80</v>
      </c>
      <c r="AB30" s="11" t="n">
        <v>0</v>
      </c>
      <c r="AC30" s="17"/>
    </row>
    <row r="31" customFormat="false" ht="15" hidden="false" customHeight="false" outlineLevel="0" collapsed="false">
      <c r="A31" s="15" t="n">
        <v>46251</v>
      </c>
      <c r="B31" s="4" t="str">
        <f aca="false">INDEX({"Monday","Tuesday","Wednesday","Thursday","Friday","Saturday","Sunday"},WEEKDAY($A31,2))</f>
        <v>Monday</v>
      </c>
      <c r="C31" s="4" t="s">
        <v>78</v>
      </c>
      <c r="D31" s="11" t="n">
        <f aca="false">COUNTIFS(Intentions!$B$2:$B$365,$A31)</f>
        <v>5</v>
      </c>
      <c r="E31" s="11" t="n">
        <f aca="false">COUNTIFS(Intentions!$B$2:$B$365,$A31,Intentions!$H$2:$H$365,"&lt;&gt;Planned")</f>
        <v>5</v>
      </c>
      <c r="F31" s="11" t="n">
        <f aca="false">COUNTIFS(Intentions!$B$2:$B$365,$A31,Intentions!$H$2:$H$365,"Done")+COUNTIFS(Intentions!$B$2:$B$365,$A31,Intentions!$H$2:$H$365,"Partial")</f>
        <v>2</v>
      </c>
      <c r="G31" s="12" t="n">
        <f aca="false">IF(E31=0,"",SUMIFS(Intentions!$K$2:$K$365,Intentions!$B$2:$B$365,$A31)/E31)</f>
        <v>0.4</v>
      </c>
      <c r="H31" s="11" t="n">
        <f aca="false">SUMIFS(Intentions!$G$2:$G$365,Intentions!$B$2:$B$365,$A31)</f>
        <v>210</v>
      </c>
      <c r="I31" s="11" t="n">
        <f aca="false">SUMIFS(Activities!$F$2:$F$190,Activities!$B$2:$B$190,$A31)</f>
        <v>65</v>
      </c>
      <c r="J31" s="11" t="n">
        <f aca="false">SUMIFS(Activities!$F$2:$F$190,Activities!$B$2:$B$190,$A31,Activities!$C$2:$C$190,"Spiritual")</f>
        <v>0</v>
      </c>
      <c r="K31" s="11" t="n">
        <f aca="false">SUMIFS(Activities!$F$2:$F$190,Activities!$B$2:$B$190,$A31,Activities!$C$2:$C$190,"Physical")</f>
        <v>40</v>
      </c>
      <c r="L31" s="11" t="n">
        <f aca="false">SUMIFS(Activities!$F$2:$F$190,Activities!$B$2:$B$190,$A31,Activities!$C$2:$C$190,"Studies")</f>
        <v>0</v>
      </c>
      <c r="M31" s="11" t="n">
        <f aca="false">SUMIFS(Activities!$F$2:$F$190,Activities!$B$2:$B$190,$A31,Activities!$C$2:$C$190,"Professional")</f>
        <v>0</v>
      </c>
      <c r="N31" s="11" t="n">
        <f aca="false">SUMIFS(Activities!$F$2:$F$190,Activities!$B$2:$B$190,$A31,Activities!$C$2:$C$190,"Personal")</f>
        <v>25</v>
      </c>
      <c r="O31" s="11" t="n">
        <f aca="false">SUMIFS(Activities!$F$2:$F$190,Activities!$B$2:$B$190,$A31,Activities!$C$2:$C$190,"Relationships")</f>
        <v>0</v>
      </c>
      <c r="P31" s="11" t="n">
        <f aca="false">SUMIFS(Activities!$F$2:$F$190,Activities!$B$2:$B$190,$A31,Activities!$C$2:$C$190,"Leisure and creativity")</f>
        <v>0</v>
      </c>
      <c r="Q31" s="10" t="n">
        <v>6.9</v>
      </c>
      <c r="R31" s="11"/>
      <c r="S31" s="11" t="n">
        <v>3</v>
      </c>
      <c r="T31" s="11" t="n">
        <v>3</v>
      </c>
      <c r="U31" s="11" t="n">
        <v>3</v>
      </c>
      <c r="V31" s="11" t="n">
        <v>3</v>
      </c>
      <c r="W31" s="11" t="n">
        <v>239</v>
      </c>
      <c r="X31" s="16" t="n">
        <v>7958</v>
      </c>
      <c r="Y31" s="10" t="n">
        <v>1.8</v>
      </c>
      <c r="Z31" s="11" t="n">
        <f aca="false">COUNTIFS(Reflections!$A$2:$A$70,$A31)</f>
        <v>1</v>
      </c>
      <c r="AA31" s="4" t="s">
        <v>80</v>
      </c>
      <c r="AB31" s="11" t="n">
        <v>0</v>
      </c>
      <c r="AC31" s="17"/>
    </row>
    <row r="32" customFormat="false" ht="15" hidden="false" customHeight="false" outlineLevel="0" collapsed="false">
      <c r="A32" s="15" t="n">
        <v>46252</v>
      </c>
      <c r="B32" s="4" t="str">
        <f aca="false">INDEX({"Monday","Tuesday","Wednesday","Thursday","Friday","Saturday","Sunday"},WEEKDAY($A32,2))</f>
        <v>Tuesday</v>
      </c>
      <c r="C32" s="4" t="s">
        <v>78</v>
      </c>
      <c r="D32" s="11" t="n">
        <f aca="false">COUNTIFS(Intentions!$B$2:$B$365,$A32)</f>
        <v>3</v>
      </c>
      <c r="E32" s="11" t="n">
        <f aca="false">COUNTIFS(Intentions!$B$2:$B$365,$A32,Intentions!$H$2:$H$365,"&lt;&gt;Planned")</f>
        <v>3</v>
      </c>
      <c r="F32" s="11" t="n">
        <f aca="false">COUNTIFS(Intentions!$B$2:$B$365,$A32,Intentions!$H$2:$H$365,"Done")+COUNTIFS(Intentions!$B$2:$B$365,$A32,Intentions!$H$2:$H$365,"Partial")</f>
        <v>2</v>
      </c>
      <c r="G32" s="12" t="n">
        <f aca="false">IF(E32=0,"",SUMIFS(Intentions!$K$2:$K$365,Intentions!$B$2:$B$365,$A32)/E32)</f>
        <v>0.666666666666667</v>
      </c>
      <c r="H32" s="11" t="n">
        <f aca="false">SUMIFS(Intentions!$G$2:$G$365,Intentions!$B$2:$B$365,$A32)</f>
        <v>110</v>
      </c>
      <c r="I32" s="11" t="n">
        <f aca="false">SUMIFS(Activities!$F$2:$F$190,Activities!$B$2:$B$190,$A32)</f>
        <v>88</v>
      </c>
      <c r="J32" s="11" t="n">
        <f aca="false">SUMIFS(Activities!$F$2:$F$190,Activities!$B$2:$B$190,$A32,Activities!$C$2:$C$190,"Spiritual")</f>
        <v>0</v>
      </c>
      <c r="K32" s="11" t="n">
        <f aca="false">SUMIFS(Activities!$F$2:$F$190,Activities!$B$2:$B$190,$A32,Activities!$C$2:$C$190,"Physical")</f>
        <v>0</v>
      </c>
      <c r="L32" s="11" t="n">
        <f aca="false">SUMIFS(Activities!$F$2:$F$190,Activities!$B$2:$B$190,$A32,Activities!$C$2:$C$190,"Studies")</f>
        <v>70</v>
      </c>
      <c r="M32" s="11" t="n">
        <f aca="false">SUMIFS(Activities!$F$2:$F$190,Activities!$B$2:$B$190,$A32,Activities!$C$2:$C$190,"Professional")</f>
        <v>0</v>
      </c>
      <c r="N32" s="11" t="n">
        <f aca="false">SUMIFS(Activities!$F$2:$F$190,Activities!$B$2:$B$190,$A32,Activities!$C$2:$C$190,"Personal")</f>
        <v>0</v>
      </c>
      <c r="O32" s="11" t="n">
        <f aca="false">SUMIFS(Activities!$F$2:$F$190,Activities!$B$2:$B$190,$A32,Activities!$C$2:$C$190,"Relationships")</f>
        <v>18</v>
      </c>
      <c r="P32" s="11" t="n">
        <f aca="false">SUMIFS(Activities!$F$2:$F$190,Activities!$B$2:$B$190,$A32,Activities!$C$2:$C$190,"Leisure and creativity")</f>
        <v>0</v>
      </c>
      <c r="Q32" s="10" t="n">
        <v>8.4</v>
      </c>
      <c r="R32" s="11"/>
      <c r="S32" s="11" t="n">
        <v>4</v>
      </c>
      <c r="T32" s="11" t="n">
        <v>4</v>
      </c>
      <c r="U32" s="11" t="n">
        <v>4</v>
      </c>
      <c r="V32" s="11" t="n">
        <v>3</v>
      </c>
      <c r="W32" s="11" t="n">
        <v>208</v>
      </c>
      <c r="X32" s="16" t="n">
        <v>8042</v>
      </c>
      <c r="Y32" s="10" t="n">
        <v>2.2</v>
      </c>
      <c r="Z32" s="11" t="n">
        <f aca="false">COUNTIFS(Reflections!$A$2:$A$70,$A32)</f>
        <v>1</v>
      </c>
      <c r="AA32" s="4" t="s">
        <v>80</v>
      </c>
      <c r="AB32" s="11" t="n">
        <v>0</v>
      </c>
      <c r="AC32" s="17"/>
    </row>
    <row r="33" customFormat="false" ht="15" hidden="false" customHeight="false" outlineLevel="0" collapsed="false">
      <c r="A33" s="15" t="n">
        <v>46253</v>
      </c>
      <c r="B33" s="4" t="str">
        <f aca="false">INDEX({"Monday","Tuesday","Wednesday","Thursday","Friday","Saturday","Sunday"},WEEKDAY($A33,2))</f>
        <v>Wednesday</v>
      </c>
      <c r="C33" s="4" t="s">
        <v>78</v>
      </c>
      <c r="D33" s="11" t="n">
        <f aca="false">COUNTIFS(Intentions!$B$2:$B$365,$A33)</f>
        <v>2</v>
      </c>
      <c r="E33" s="11" t="n">
        <f aca="false">COUNTIFS(Intentions!$B$2:$B$365,$A33,Intentions!$H$2:$H$365,"&lt;&gt;Planned")</f>
        <v>2</v>
      </c>
      <c r="F33" s="11" t="n">
        <f aca="false">COUNTIFS(Intentions!$B$2:$B$365,$A33,Intentions!$H$2:$H$365,"Done")+COUNTIFS(Intentions!$B$2:$B$365,$A33,Intentions!$H$2:$H$365,"Partial")</f>
        <v>1</v>
      </c>
      <c r="G33" s="12" t="n">
        <f aca="false">IF(E33=0,"",SUMIFS(Intentions!$K$2:$K$365,Intentions!$B$2:$B$365,$A33)/E33)</f>
        <v>0.5</v>
      </c>
      <c r="H33" s="11" t="n">
        <f aca="false">SUMIFS(Intentions!$G$2:$G$365,Intentions!$B$2:$B$365,$A33)</f>
        <v>75</v>
      </c>
      <c r="I33" s="11" t="n">
        <f aca="false">SUMIFS(Activities!$F$2:$F$190,Activities!$B$2:$B$190,$A33)</f>
        <v>16</v>
      </c>
      <c r="J33" s="11" t="n">
        <f aca="false">SUMIFS(Activities!$F$2:$F$190,Activities!$B$2:$B$190,$A33,Activities!$C$2:$C$190,"Spiritual")</f>
        <v>16</v>
      </c>
      <c r="K33" s="11" t="n">
        <f aca="false">SUMIFS(Activities!$F$2:$F$190,Activities!$B$2:$B$190,$A33,Activities!$C$2:$C$190,"Physical")</f>
        <v>0</v>
      </c>
      <c r="L33" s="11" t="n">
        <f aca="false">SUMIFS(Activities!$F$2:$F$190,Activities!$B$2:$B$190,$A33,Activities!$C$2:$C$190,"Studies")</f>
        <v>0</v>
      </c>
      <c r="M33" s="11" t="n">
        <f aca="false">SUMIFS(Activities!$F$2:$F$190,Activities!$B$2:$B$190,$A33,Activities!$C$2:$C$190,"Professional")</f>
        <v>0</v>
      </c>
      <c r="N33" s="11" t="n">
        <f aca="false">SUMIFS(Activities!$F$2:$F$190,Activities!$B$2:$B$190,$A33,Activities!$C$2:$C$190,"Personal")</f>
        <v>0</v>
      </c>
      <c r="O33" s="11" t="n">
        <f aca="false">SUMIFS(Activities!$F$2:$F$190,Activities!$B$2:$B$190,$A33,Activities!$C$2:$C$190,"Relationships")</f>
        <v>0</v>
      </c>
      <c r="P33" s="11" t="n">
        <f aca="false">SUMIFS(Activities!$F$2:$F$190,Activities!$B$2:$B$190,$A33,Activities!$C$2:$C$190,"Leisure and creativity")</f>
        <v>0</v>
      </c>
      <c r="Q33" s="10" t="n">
        <v>7.6</v>
      </c>
      <c r="R33" s="11"/>
      <c r="S33" s="11" t="n">
        <v>2</v>
      </c>
      <c r="T33" s="11" t="n">
        <v>1</v>
      </c>
      <c r="U33" s="11" t="n">
        <v>3</v>
      </c>
      <c r="V33" s="11" t="n">
        <v>3</v>
      </c>
      <c r="W33" s="11" t="n">
        <v>179</v>
      </c>
      <c r="X33" s="16" t="n">
        <v>4703</v>
      </c>
      <c r="Y33" s="10" t="n">
        <v>1.6</v>
      </c>
      <c r="Z33" s="11" t="n">
        <f aca="false">COUNTIFS(Reflections!$A$2:$A$70,$A33)</f>
        <v>1</v>
      </c>
      <c r="AA33" s="4" t="s">
        <v>80</v>
      </c>
      <c r="AB33" s="11" t="n">
        <v>0</v>
      </c>
      <c r="AC33" s="17"/>
    </row>
    <row r="34" customFormat="false" ht="15" hidden="false" customHeight="false" outlineLevel="0" collapsed="false">
      <c r="A34" s="15" t="n">
        <v>46254</v>
      </c>
      <c r="B34" s="4" t="str">
        <f aca="false">INDEX({"Monday","Tuesday","Wednesday","Thursday","Friday","Saturday","Sunday"},WEEKDAY($A34,2))</f>
        <v>Thursday</v>
      </c>
      <c r="C34" s="4" t="s">
        <v>78</v>
      </c>
      <c r="D34" s="11" t="n">
        <f aca="false">COUNTIFS(Intentions!$B$2:$B$365,$A34)</f>
        <v>3</v>
      </c>
      <c r="E34" s="11" t="n">
        <f aca="false">COUNTIFS(Intentions!$B$2:$B$365,$A34,Intentions!$H$2:$H$365,"&lt;&gt;Planned")</f>
        <v>3</v>
      </c>
      <c r="F34" s="11" t="n">
        <f aca="false">COUNTIFS(Intentions!$B$2:$B$365,$A34,Intentions!$H$2:$H$365,"Done")+COUNTIFS(Intentions!$B$2:$B$365,$A34,Intentions!$H$2:$H$365,"Partial")</f>
        <v>1</v>
      </c>
      <c r="G34" s="12" t="n">
        <f aca="false">IF(E34=0,"",SUMIFS(Intentions!$K$2:$K$365,Intentions!$B$2:$B$365,$A34)/E34)</f>
        <v>0.333333333333333</v>
      </c>
      <c r="H34" s="11" t="n">
        <f aca="false">SUMIFS(Intentions!$G$2:$G$365,Intentions!$B$2:$B$365,$A34)</f>
        <v>135</v>
      </c>
      <c r="I34" s="11" t="n">
        <f aca="false">SUMIFS(Activities!$F$2:$F$190,Activities!$B$2:$B$190,$A34)</f>
        <v>17</v>
      </c>
      <c r="J34" s="11" t="n">
        <f aca="false">SUMIFS(Activities!$F$2:$F$190,Activities!$B$2:$B$190,$A34,Activities!$C$2:$C$190,"Spiritual")</f>
        <v>17</v>
      </c>
      <c r="K34" s="11" t="n">
        <f aca="false">SUMIFS(Activities!$F$2:$F$190,Activities!$B$2:$B$190,$A34,Activities!$C$2:$C$190,"Physical")</f>
        <v>0</v>
      </c>
      <c r="L34" s="11" t="n">
        <f aca="false">SUMIFS(Activities!$F$2:$F$190,Activities!$B$2:$B$190,$A34,Activities!$C$2:$C$190,"Studies")</f>
        <v>0</v>
      </c>
      <c r="M34" s="11" t="n">
        <f aca="false">SUMIFS(Activities!$F$2:$F$190,Activities!$B$2:$B$190,$A34,Activities!$C$2:$C$190,"Professional")</f>
        <v>0</v>
      </c>
      <c r="N34" s="11" t="n">
        <f aca="false">SUMIFS(Activities!$F$2:$F$190,Activities!$B$2:$B$190,$A34,Activities!$C$2:$C$190,"Personal")</f>
        <v>0</v>
      </c>
      <c r="O34" s="11" t="n">
        <f aca="false">SUMIFS(Activities!$F$2:$F$190,Activities!$B$2:$B$190,$A34,Activities!$C$2:$C$190,"Relationships")</f>
        <v>0</v>
      </c>
      <c r="P34" s="11" t="n">
        <f aca="false">SUMIFS(Activities!$F$2:$F$190,Activities!$B$2:$B$190,$A34,Activities!$C$2:$C$190,"Leisure and creativity")</f>
        <v>0</v>
      </c>
      <c r="Q34" s="10" t="n">
        <v>6.5</v>
      </c>
      <c r="R34" s="11"/>
      <c r="S34" s="11" t="n">
        <v>3</v>
      </c>
      <c r="T34" s="11" t="n">
        <v>2</v>
      </c>
      <c r="U34" s="11" t="n">
        <v>3</v>
      </c>
      <c r="V34" s="11" t="n">
        <v>2</v>
      </c>
      <c r="W34" s="11" t="n">
        <v>208</v>
      </c>
      <c r="X34" s="16" t="n">
        <v>11382</v>
      </c>
      <c r="Y34" s="10" t="n">
        <v>2.3</v>
      </c>
      <c r="Z34" s="11" t="n">
        <f aca="false">COUNTIFS(Reflections!$A$2:$A$70,$A34)</f>
        <v>1</v>
      </c>
      <c r="AA34" s="4" t="s">
        <v>80</v>
      </c>
      <c r="AB34" s="11" t="n">
        <v>0</v>
      </c>
      <c r="AC34" s="17" t="s">
        <v>86</v>
      </c>
    </row>
    <row r="35" customFormat="false" ht="15" hidden="false" customHeight="false" outlineLevel="0" collapsed="false">
      <c r="A35" s="15" t="n">
        <v>46255</v>
      </c>
      <c r="B35" s="4" t="str">
        <f aca="false">INDEX({"Monday","Tuesday","Wednesday","Thursday","Friday","Saturday","Sunday"},WEEKDAY($A35,2))</f>
        <v>Friday</v>
      </c>
      <c r="C35" s="4" t="s">
        <v>78</v>
      </c>
      <c r="D35" s="11" t="n">
        <f aca="false">COUNTIFS(Intentions!$B$2:$B$365,$A35)</f>
        <v>7</v>
      </c>
      <c r="E35" s="11" t="n">
        <f aca="false">COUNTIFS(Intentions!$B$2:$B$365,$A35,Intentions!$H$2:$H$365,"&lt;&gt;Planned")</f>
        <v>7</v>
      </c>
      <c r="F35" s="11" t="n">
        <f aca="false">COUNTIFS(Intentions!$B$2:$B$365,$A35,Intentions!$H$2:$H$365,"Done")+COUNTIFS(Intentions!$B$2:$B$365,$A35,Intentions!$H$2:$H$365,"Partial")</f>
        <v>2</v>
      </c>
      <c r="G35" s="12" t="n">
        <f aca="false">IF(E35=0,"",SUMIFS(Intentions!$K$2:$K$365,Intentions!$B$2:$B$365,$A35)/E35)</f>
        <v>0.285714285714286</v>
      </c>
      <c r="H35" s="11" t="n">
        <f aca="false">SUMIFS(Intentions!$G$2:$G$365,Intentions!$B$2:$B$365,$A35)</f>
        <v>250</v>
      </c>
      <c r="I35" s="11" t="n">
        <f aca="false">SUMIFS(Activities!$F$2:$F$190,Activities!$B$2:$B$190,$A35)</f>
        <v>43</v>
      </c>
      <c r="J35" s="11" t="n">
        <f aca="false">SUMIFS(Activities!$F$2:$F$190,Activities!$B$2:$B$190,$A35,Activities!$C$2:$C$190,"Spiritual")</f>
        <v>23</v>
      </c>
      <c r="K35" s="11" t="n">
        <f aca="false">SUMIFS(Activities!$F$2:$F$190,Activities!$B$2:$B$190,$A35,Activities!$C$2:$C$190,"Physical")</f>
        <v>0</v>
      </c>
      <c r="L35" s="11" t="n">
        <f aca="false">SUMIFS(Activities!$F$2:$F$190,Activities!$B$2:$B$190,$A35,Activities!$C$2:$C$190,"Studies")</f>
        <v>0</v>
      </c>
      <c r="M35" s="11" t="n">
        <f aca="false">SUMIFS(Activities!$F$2:$F$190,Activities!$B$2:$B$190,$A35,Activities!$C$2:$C$190,"Professional")</f>
        <v>0</v>
      </c>
      <c r="N35" s="11" t="n">
        <f aca="false">SUMIFS(Activities!$F$2:$F$190,Activities!$B$2:$B$190,$A35,Activities!$C$2:$C$190,"Personal")</f>
        <v>0</v>
      </c>
      <c r="O35" s="11" t="n">
        <f aca="false">SUMIFS(Activities!$F$2:$F$190,Activities!$B$2:$B$190,$A35,Activities!$C$2:$C$190,"Relationships")</f>
        <v>20</v>
      </c>
      <c r="P35" s="11" t="n">
        <f aca="false">SUMIFS(Activities!$F$2:$F$190,Activities!$B$2:$B$190,$A35,Activities!$C$2:$C$190,"Leisure and creativity")</f>
        <v>0</v>
      </c>
      <c r="Q35" s="10" t="n">
        <v>6.3</v>
      </c>
      <c r="R35" s="11"/>
      <c r="S35" s="11" t="n">
        <v>3</v>
      </c>
      <c r="T35" s="11" t="n">
        <v>3</v>
      </c>
      <c r="U35" s="11" t="n">
        <v>2</v>
      </c>
      <c r="V35" s="11" t="n">
        <v>3</v>
      </c>
      <c r="W35" s="11" t="n">
        <v>225</v>
      </c>
      <c r="X35" s="16" t="n">
        <v>5542</v>
      </c>
      <c r="Y35" s="10" t="n">
        <v>1.9</v>
      </c>
      <c r="Z35" s="11" t="n">
        <f aca="false">COUNTIFS(Reflections!$A$2:$A$70,$A35)</f>
        <v>1</v>
      </c>
      <c r="AA35" s="4" t="s">
        <v>80</v>
      </c>
      <c r="AB35" s="11" t="n">
        <v>0</v>
      </c>
      <c r="AC35" s="17"/>
    </row>
    <row r="36" customFormat="false" ht="15" hidden="false" customHeight="false" outlineLevel="0" collapsed="false">
      <c r="A36" s="15" t="n">
        <v>46256</v>
      </c>
      <c r="B36" s="4" t="str">
        <f aca="false">INDEX({"Monday","Tuesday","Wednesday","Thursday","Friday","Saturday","Sunday"},WEEKDAY($A36,2))</f>
        <v>Saturday</v>
      </c>
      <c r="C36" s="4" t="s">
        <v>78</v>
      </c>
      <c r="D36" s="11" t="n">
        <f aca="false">COUNTIFS(Intentions!$B$2:$B$365,$A36)</f>
        <v>4</v>
      </c>
      <c r="E36" s="11" t="n">
        <f aca="false">COUNTIFS(Intentions!$B$2:$B$365,$A36,Intentions!$H$2:$H$365,"&lt;&gt;Planned")</f>
        <v>4</v>
      </c>
      <c r="F36" s="11" t="n">
        <f aca="false">COUNTIFS(Intentions!$B$2:$B$365,$A36,Intentions!$H$2:$H$365,"Done")+COUNTIFS(Intentions!$B$2:$B$365,$A36,Intentions!$H$2:$H$365,"Partial")</f>
        <v>2</v>
      </c>
      <c r="G36" s="12" t="n">
        <f aca="false">IF(E36=0,"",SUMIFS(Intentions!$K$2:$K$365,Intentions!$B$2:$B$365,$A36)/E36)</f>
        <v>0.375</v>
      </c>
      <c r="H36" s="11" t="n">
        <f aca="false">SUMIFS(Intentions!$G$2:$G$365,Intentions!$B$2:$B$365,$A36)</f>
        <v>185</v>
      </c>
      <c r="I36" s="11" t="n">
        <f aca="false">SUMIFS(Activities!$F$2:$F$190,Activities!$B$2:$B$190,$A36)</f>
        <v>49</v>
      </c>
      <c r="J36" s="11" t="n">
        <f aca="false">SUMIFS(Activities!$F$2:$F$190,Activities!$B$2:$B$190,$A36,Activities!$C$2:$C$190,"Spiritual")</f>
        <v>13</v>
      </c>
      <c r="K36" s="11" t="n">
        <f aca="false">SUMIFS(Activities!$F$2:$F$190,Activities!$B$2:$B$190,$A36,Activities!$C$2:$C$190,"Physical")</f>
        <v>0</v>
      </c>
      <c r="L36" s="11" t="n">
        <f aca="false">SUMIFS(Activities!$F$2:$F$190,Activities!$B$2:$B$190,$A36,Activities!$C$2:$C$190,"Studies")</f>
        <v>36</v>
      </c>
      <c r="M36" s="11" t="n">
        <f aca="false">SUMIFS(Activities!$F$2:$F$190,Activities!$B$2:$B$190,$A36,Activities!$C$2:$C$190,"Professional")</f>
        <v>0</v>
      </c>
      <c r="N36" s="11" t="n">
        <f aca="false">SUMIFS(Activities!$F$2:$F$190,Activities!$B$2:$B$190,$A36,Activities!$C$2:$C$190,"Personal")</f>
        <v>0</v>
      </c>
      <c r="O36" s="11" t="n">
        <f aca="false">SUMIFS(Activities!$F$2:$F$190,Activities!$B$2:$B$190,$A36,Activities!$C$2:$C$190,"Relationships")</f>
        <v>0</v>
      </c>
      <c r="P36" s="11" t="n">
        <f aca="false">SUMIFS(Activities!$F$2:$F$190,Activities!$B$2:$B$190,$A36,Activities!$C$2:$C$190,"Leisure and creativity")</f>
        <v>0</v>
      </c>
      <c r="Q36" s="10" t="n">
        <v>7.5</v>
      </c>
      <c r="R36" s="11"/>
      <c r="S36" s="11" t="n">
        <v>3</v>
      </c>
      <c r="T36" s="11" t="n">
        <v>3</v>
      </c>
      <c r="U36" s="11" t="n">
        <v>4</v>
      </c>
      <c r="V36" s="11" t="n">
        <v>2</v>
      </c>
      <c r="W36" s="11" t="n">
        <v>238</v>
      </c>
      <c r="X36" s="16" t="n">
        <v>5708</v>
      </c>
      <c r="Y36" s="10" t="n">
        <v>0.9</v>
      </c>
      <c r="Z36" s="11" t="n">
        <f aca="false">COUNTIFS(Reflections!$A$2:$A$70,$A36)</f>
        <v>1</v>
      </c>
      <c r="AA36" s="4" t="s">
        <v>80</v>
      </c>
      <c r="AB36" s="11" t="n">
        <v>0</v>
      </c>
      <c r="AC36" s="17" t="s">
        <v>84</v>
      </c>
    </row>
    <row r="37" customFormat="false" ht="15" hidden="false" customHeight="false" outlineLevel="0" collapsed="false">
      <c r="A37" s="15" t="n">
        <v>46257</v>
      </c>
      <c r="B37" s="4" t="str">
        <f aca="false">INDEX({"Monday","Tuesday","Wednesday","Thursday","Friday","Saturday","Sunday"},WEEKDAY($A37,2))</f>
        <v>Sunday</v>
      </c>
      <c r="C37" s="4" t="s">
        <v>78</v>
      </c>
      <c r="D37" s="11" t="n">
        <f aca="false">COUNTIFS(Intentions!$B$2:$B$365,$A37)</f>
        <v>3</v>
      </c>
      <c r="E37" s="11" t="n">
        <f aca="false">COUNTIFS(Intentions!$B$2:$B$365,$A37,Intentions!$H$2:$H$365,"&lt;&gt;Planned")</f>
        <v>3</v>
      </c>
      <c r="F37" s="11" t="n">
        <f aca="false">COUNTIFS(Intentions!$B$2:$B$365,$A37,Intentions!$H$2:$H$365,"Done")+COUNTIFS(Intentions!$B$2:$B$365,$A37,Intentions!$H$2:$H$365,"Partial")</f>
        <v>1</v>
      </c>
      <c r="G37" s="12" t="n">
        <f aca="false">IF(E37=0,"",SUMIFS(Intentions!$K$2:$K$365,Intentions!$B$2:$B$365,$A37)/E37)</f>
        <v>0.333333333333333</v>
      </c>
      <c r="H37" s="11" t="n">
        <f aca="false">SUMIFS(Intentions!$G$2:$G$365,Intentions!$B$2:$B$365,$A37)</f>
        <v>180</v>
      </c>
      <c r="I37" s="11" t="n">
        <f aca="false">SUMIFS(Activities!$F$2:$F$190,Activities!$B$2:$B$190,$A37)</f>
        <v>84</v>
      </c>
      <c r="J37" s="11" t="n">
        <f aca="false">SUMIFS(Activities!$F$2:$F$190,Activities!$B$2:$B$190,$A37,Activities!$C$2:$C$190,"Spiritual")</f>
        <v>0</v>
      </c>
      <c r="K37" s="11" t="n">
        <f aca="false">SUMIFS(Activities!$F$2:$F$190,Activities!$B$2:$B$190,$A37,Activities!$C$2:$C$190,"Physical")</f>
        <v>0</v>
      </c>
      <c r="L37" s="11" t="n">
        <f aca="false">SUMIFS(Activities!$F$2:$F$190,Activities!$B$2:$B$190,$A37,Activities!$C$2:$C$190,"Studies")</f>
        <v>84</v>
      </c>
      <c r="M37" s="11" t="n">
        <f aca="false">SUMIFS(Activities!$F$2:$F$190,Activities!$B$2:$B$190,$A37,Activities!$C$2:$C$190,"Professional")</f>
        <v>0</v>
      </c>
      <c r="N37" s="11" t="n">
        <f aca="false">SUMIFS(Activities!$F$2:$F$190,Activities!$B$2:$B$190,$A37,Activities!$C$2:$C$190,"Personal")</f>
        <v>0</v>
      </c>
      <c r="O37" s="11" t="n">
        <f aca="false">SUMIFS(Activities!$F$2:$F$190,Activities!$B$2:$B$190,$A37,Activities!$C$2:$C$190,"Relationships")</f>
        <v>0</v>
      </c>
      <c r="P37" s="11" t="n">
        <f aca="false">SUMIFS(Activities!$F$2:$F$190,Activities!$B$2:$B$190,$A37,Activities!$C$2:$C$190,"Leisure and creativity")</f>
        <v>0</v>
      </c>
      <c r="Q37" s="10" t="n">
        <v>6.5</v>
      </c>
      <c r="R37" s="11"/>
      <c r="S37" s="11" t="n">
        <v>3</v>
      </c>
      <c r="T37" s="11" t="n">
        <v>3</v>
      </c>
      <c r="U37" s="11" t="n">
        <v>2</v>
      </c>
      <c r="V37" s="11" t="n">
        <v>4</v>
      </c>
      <c r="W37" s="11" t="n">
        <v>269</v>
      </c>
      <c r="X37" s="16" t="n">
        <v>7270</v>
      </c>
      <c r="Y37" s="10" t="n">
        <v>1.9</v>
      </c>
      <c r="Z37" s="11" t="n">
        <f aca="false">COUNTIFS(Reflections!$A$2:$A$70,$A37)</f>
        <v>2</v>
      </c>
      <c r="AA37" s="4" t="s">
        <v>80</v>
      </c>
      <c r="AB37" s="11" t="n">
        <v>0</v>
      </c>
      <c r="AC37" s="17"/>
    </row>
    <row r="38" customFormat="false" ht="15" hidden="false" customHeight="false" outlineLevel="0" collapsed="false">
      <c r="A38" s="15" t="n">
        <v>46258</v>
      </c>
      <c r="B38" s="4" t="str">
        <f aca="false">INDEX({"Monday","Tuesday","Wednesday","Thursday","Friday","Saturday","Sunday"},WEEKDAY($A38,2))</f>
        <v>Monday</v>
      </c>
      <c r="C38" s="4" t="s">
        <v>78</v>
      </c>
      <c r="D38" s="11" t="n">
        <f aca="false">COUNTIFS(Intentions!$B$2:$B$365,$A38)</f>
        <v>5</v>
      </c>
      <c r="E38" s="11" t="n">
        <f aca="false">COUNTIFS(Intentions!$B$2:$B$365,$A38,Intentions!$H$2:$H$365,"&lt;&gt;Planned")</f>
        <v>5</v>
      </c>
      <c r="F38" s="11" t="n">
        <f aca="false">COUNTIFS(Intentions!$B$2:$B$365,$A38,Intentions!$H$2:$H$365,"Done")+COUNTIFS(Intentions!$B$2:$B$365,$A38,Intentions!$H$2:$H$365,"Partial")</f>
        <v>1</v>
      </c>
      <c r="G38" s="12" t="n">
        <f aca="false">IF(E38=0,"",SUMIFS(Intentions!$K$2:$K$365,Intentions!$B$2:$B$365,$A38)/E38)</f>
        <v>0.2</v>
      </c>
      <c r="H38" s="11" t="n">
        <f aca="false">SUMIFS(Intentions!$G$2:$G$365,Intentions!$B$2:$B$365,$A38)</f>
        <v>175</v>
      </c>
      <c r="I38" s="11" t="n">
        <f aca="false">SUMIFS(Activities!$F$2:$F$190,Activities!$B$2:$B$190,$A38)</f>
        <v>23</v>
      </c>
      <c r="J38" s="11" t="n">
        <f aca="false">SUMIFS(Activities!$F$2:$F$190,Activities!$B$2:$B$190,$A38,Activities!$C$2:$C$190,"Spiritual")</f>
        <v>23</v>
      </c>
      <c r="K38" s="11" t="n">
        <f aca="false">SUMIFS(Activities!$F$2:$F$190,Activities!$B$2:$B$190,$A38,Activities!$C$2:$C$190,"Physical")</f>
        <v>0</v>
      </c>
      <c r="L38" s="11" t="n">
        <f aca="false">SUMIFS(Activities!$F$2:$F$190,Activities!$B$2:$B$190,$A38,Activities!$C$2:$C$190,"Studies")</f>
        <v>0</v>
      </c>
      <c r="M38" s="11" t="n">
        <f aca="false">SUMIFS(Activities!$F$2:$F$190,Activities!$B$2:$B$190,$A38,Activities!$C$2:$C$190,"Professional")</f>
        <v>0</v>
      </c>
      <c r="N38" s="11" t="n">
        <f aca="false">SUMIFS(Activities!$F$2:$F$190,Activities!$B$2:$B$190,$A38,Activities!$C$2:$C$190,"Personal")</f>
        <v>0</v>
      </c>
      <c r="O38" s="11" t="n">
        <f aca="false">SUMIFS(Activities!$F$2:$F$190,Activities!$B$2:$B$190,$A38,Activities!$C$2:$C$190,"Relationships")</f>
        <v>0</v>
      </c>
      <c r="P38" s="11" t="n">
        <f aca="false">SUMIFS(Activities!$F$2:$F$190,Activities!$B$2:$B$190,$A38,Activities!$C$2:$C$190,"Leisure and creativity")</f>
        <v>0</v>
      </c>
      <c r="Q38" s="10" t="n">
        <v>5.8</v>
      </c>
      <c r="R38" s="11"/>
      <c r="S38" s="11" t="n">
        <v>3</v>
      </c>
      <c r="T38" s="11" t="n">
        <v>3</v>
      </c>
      <c r="U38" s="11" t="n">
        <v>3</v>
      </c>
      <c r="V38" s="11" t="n">
        <v>3</v>
      </c>
      <c r="W38" s="11" t="n">
        <v>214</v>
      </c>
      <c r="X38" s="16" t="n">
        <v>10152</v>
      </c>
      <c r="Y38" s="10" t="n">
        <v>2.2</v>
      </c>
      <c r="Z38" s="11" t="n">
        <f aca="false">COUNTIFS(Reflections!$A$2:$A$70,$A38)</f>
        <v>1</v>
      </c>
      <c r="AA38" s="4" t="s">
        <v>80</v>
      </c>
      <c r="AB38" s="11" t="n">
        <v>0</v>
      </c>
      <c r="AC38" s="17"/>
    </row>
    <row r="39" customFormat="false" ht="15" hidden="false" customHeight="false" outlineLevel="0" collapsed="false">
      <c r="A39" s="15" t="n">
        <v>46259</v>
      </c>
      <c r="B39" s="4" t="str">
        <f aca="false">INDEX({"Monday","Tuesday","Wednesday","Thursday","Friday","Saturday","Sunday"},WEEKDAY($A39,2))</f>
        <v>Tuesday</v>
      </c>
      <c r="C39" s="4" t="s">
        <v>78</v>
      </c>
      <c r="D39" s="11" t="n">
        <f aca="false">COUNTIFS(Intentions!$B$2:$B$365,$A39)</f>
        <v>7</v>
      </c>
      <c r="E39" s="11" t="n">
        <f aca="false">COUNTIFS(Intentions!$B$2:$B$365,$A39,Intentions!$H$2:$H$365,"&lt;&gt;Planned")</f>
        <v>7</v>
      </c>
      <c r="F39" s="11" t="n">
        <f aca="false">COUNTIFS(Intentions!$B$2:$B$365,$A39,Intentions!$H$2:$H$365,"Done")+COUNTIFS(Intentions!$B$2:$B$365,$A39,Intentions!$H$2:$H$365,"Partial")</f>
        <v>3</v>
      </c>
      <c r="G39" s="12" t="n">
        <f aca="false">IF(E39=0,"",SUMIFS(Intentions!$K$2:$K$365,Intentions!$B$2:$B$365,$A39)/E39)</f>
        <v>0.428571428571429</v>
      </c>
      <c r="H39" s="11" t="n">
        <f aca="false">SUMIFS(Intentions!$G$2:$G$365,Intentions!$B$2:$B$365,$A39)</f>
        <v>320</v>
      </c>
      <c r="I39" s="11" t="n">
        <f aca="false">SUMIFS(Activities!$F$2:$F$190,Activities!$B$2:$B$190,$A39)</f>
        <v>219</v>
      </c>
      <c r="J39" s="11" t="n">
        <f aca="false">SUMIFS(Activities!$F$2:$F$190,Activities!$B$2:$B$190,$A39,Activities!$C$2:$C$190,"Spiritual")</f>
        <v>17</v>
      </c>
      <c r="K39" s="11" t="n">
        <f aca="false">SUMIFS(Activities!$F$2:$F$190,Activities!$B$2:$B$190,$A39,Activities!$C$2:$C$190,"Physical")</f>
        <v>0</v>
      </c>
      <c r="L39" s="11" t="n">
        <f aca="false">SUMIFS(Activities!$F$2:$F$190,Activities!$B$2:$B$190,$A39,Activities!$C$2:$C$190,"Studies")</f>
        <v>175</v>
      </c>
      <c r="M39" s="11" t="n">
        <f aca="false">SUMIFS(Activities!$F$2:$F$190,Activities!$B$2:$B$190,$A39,Activities!$C$2:$C$190,"Professional")</f>
        <v>0</v>
      </c>
      <c r="N39" s="11" t="n">
        <f aca="false">SUMIFS(Activities!$F$2:$F$190,Activities!$B$2:$B$190,$A39,Activities!$C$2:$C$190,"Personal")</f>
        <v>0</v>
      </c>
      <c r="O39" s="11" t="n">
        <f aca="false">SUMIFS(Activities!$F$2:$F$190,Activities!$B$2:$B$190,$A39,Activities!$C$2:$C$190,"Relationships")</f>
        <v>0</v>
      </c>
      <c r="P39" s="11" t="n">
        <f aca="false">SUMIFS(Activities!$F$2:$F$190,Activities!$B$2:$B$190,$A39,Activities!$C$2:$C$190,"Leisure and creativity")</f>
        <v>27</v>
      </c>
      <c r="Q39" s="10" t="n">
        <v>8.3</v>
      </c>
      <c r="R39" s="11"/>
      <c r="S39" s="11" t="n">
        <v>3</v>
      </c>
      <c r="T39" s="11" t="n">
        <v>4</v>
      </c>
      <c r="U39" s="11" t="n">
        <v>3</v>
      </c>
      <c r="V39" s="11" t="n">
        <v>2</v>
      </c>
      <c r="W39" s="11" t="n">
        <v>279</v>
      </c>
      <c r="X39" s="16" t="n">
        <v>6018</v>
      </c>
      <c r="Y39" s="10" t="n">
        <v>0.9</v>
      </c>
      <c r="Z39" s="11" t="n">
        <f aca="false">COUNTIFS(Reflections!$A$2:$A$70,$A39)</f>
        <v>1</v>
      </c>
      <c r="AA39" s="4" t="s">
        <v>80</v>
      </c>
      <c r="AB39" s="11" t="n">
        <v>0</v>
      </c>
      <c r="AC39" s="17"/>
    </row>
    <row r="40" customFormat="false" ht="15" hidden="false" customHeight="false" outlineLevel="0" collapsed="false">
      <c r="A40" s="15" t="n">
        <v>46260</v>
      </c>
      <c r="B40" s="4" t="str">
        <f aca="false">INDEX({"Monday","Tuesday","Wednesday","Thursday","Friday","Saturday","Sunday"},WEEKDAY($A40,2))</f>
        <v>Wednesday</v>
      </c>
      <c r="C40" s="4" t="s">
        <v>78</v>
      </c>
      <c r="D40" s="11" t="n">
        <f aca="false">COUNTIFS(Intentions!$B$2:$B$365,$A40)</f>
        <v>6</v>
      </c>
      <c r="E40" s="11" t="n">
        <f aca="false">COUNTIFS(Intentions!$B$2:$B$365,$A40,Intentions!$H$2:$H$365,"&lt;&gt;Planned")</f>
        <v>6</v>
      </c>
      <c r="F40" s="11" t="n">
        <f aca="false">COUNTIFS(Intentions!$B$2:$B$365,$A40,Intentions!$H$2:$H$365,"Done")+COUNTIFS(Intentions!$B$2:$B$365,$A40,Intentions!$H$2:$H$365,"Partial")</f>
        <v>2</v>
      </c>
      <c r="G40" s="12" t="n">
        <f aca="false">IF(E40=0,"",SUMIFS(Intentions!$K$2:$K$365,Intentions!$B$2:$B$365,$A40)/E40)</f>
        <v>0.333333333333333</v>
      </c>
      <c r="H40" s="11" t="n">
        <f aca="false">SUMIFS(Intentions!$G$2:$G$365,Intentions!$B$2:$B$365,$A40)</f>
        <v>240</v>
      </c>
      <c r="I40" s="11" t="n">
        <f aca="false">SUMIFS(Activities!$F$2:$F$190,Activities!$B$2:$B$190,$A40)</f>
        <v>75</v>
      </c>
      <c r="J40" s="11" t="n">
        <f aca="false">SUMIFS(Activities!$F$2:$F$190,Activities!$B$2:$B$190,$A40,Activities!$C$2:$C$190,"Spiritual")</f>
        <v>16</v>
      </c>
      <c r="K40" s="11" t="n">
        <f aca="false">SUMIFS(Activities!$F$2:$F$190,Activities!$B$2:$B$190,$A40,Activities!$C$2:$C$190,"Physical")</f>
        <v>0</v>
      </c>
      <c r="L40" s="11" t="n">
        <f aca="false">SUMIFS(Activities!$F$2:$F$190,Activities!$B$2:$B$190,$A40,Activities!$C$2:$C$190,"Studies")</f>
        <v>0</v>
      </c>
      <c r="M40" s="11" t="n">
        <f aca="false">SUMIFS(Activities!$F$2:$F$190,Activities!$B$2:$B$190,$A40,Activities!$C$2:$C$190,"Professional")</f>
        <v>59</v>
      </c>
      <c r="N40" s="11" t="n">
        <f aca="false">SUMIFS(Activities!$F$2:$F$190,Activities!$B$2:$B$190,$A40,Activities!$C$2:$C$190,"Personal")</f>
        <v>0</v>
      </c>
      <c r="O40" s="11" t="n">
        <f aca="false">SUMIFS(Activities!$F$2:$F$190,Activities!$B$2:$B$190,$A40,Activities!$C$2:$C$190,"Relationships")</f>
        <v>0</v>
      </c>
      <c r="P40" s="11" t="n">
        <f aca="false">SUMIFS(Activities!$F$2:$F$190,Activities!$B$2:$B$190,$A40,Activities!$C$2:$C$190,"Leisure and creativity")</f>
        <v>0</v>
      </c>
      <c r="Q40" s="10" t="n">
        <v>6.9</v>
      </c>
      <c r="R40" s="11"/>
      <c r="S40" s="11" t="n">
        <v>4</v>
      </c>
      <c r="T40" s="11" t="n">
        <v>5</v>
      </c>
      <c r="U40" s="11" t="n">
        <v>4</v>
      </c>
      <c r="V40" s="11" t="n">
        <v>3</v>
      </c>
      <c r="W40" s="11" t="n">
        <v>270</v>
      </c>
      <c r="X40" s="16" t="n">
        <v>5043</v>
      </c>
      <c r="Y40" s="10" t="n">
        <v>2.4</v>
      </c>
      <c r="Z40" s="11" t="n">
        <f aca="false">COUNTIFS(Reflections!$A$2:$A$70,$A40)</f>
        <v>1</v>
      </c>
      <c r="AA40" s="4" t="s">
        <v>79</v>
      </c>
      <c r="AB40" s="11" t="n">
        <v>2</v>
      </c>
      <c r="AC40" s="17"/>
    </row>
    <row r="41" customFormat="false" ht="15" hidden="false" customHeight="false" outlineLevel="0" collapsed="false">
      <c r="A41" s="15" t="n">
        <v>46261</v>
      </c>
      <c r="B41" s="4" t="str">
        <f aca="false">INDEX({"Monday","Tuesday","Wednesday","Thursday","Friday","Saturday","Sunday"},WEEKDAY($A41,2))</f>
        <v>Thursday</v>
      </c>
      <c r="C41" s="4" t="s">
        <v>78</v>
      </c>
      <c r="D41" s="11" t="n">
        <f aca="false">COUNTIFS(Intentions!$B$2:$B$365,$A41)</f>
        <v>2</v>
      </c>
      <c r="E41" s="11" t="n">
        <f aca="false">COUNTIFS(Intentions!$B$2:$B$365,$A41,Intentions!$H$2:$H$365,"&lt;&gt;Planned")</f>
        <v>2</v>
      </c>
      <c r="F41" s="11" t="n">
        <f aca="false">COUNTIFS(Intentions!$B$2:$B$365,$A41,Intentions!$H$2:$H$365,"Done")+COUNTIFS(Intentions!$B$2:$B$365,$A41,Intentions!$H$2:$H$365,"Partial")</f>
        <v>1</v>
      </c>
      <c r="G41" s="12" t="n">
        <f aca="false">IF(E41=0,"",SUMIFS(Intentions!$K$2:$K$365,Intentions!$B$2:$B$365,$A41)/E41)</f>
        <v>0.5</v>
      </c>
      <c r="H41" s="11" t="n">
        <f aca="false">SUMIFS(Intentions!$G$2:$G$365,Intentions!$B$2:$B$365,$A41)</f>
        <v>75</v>
      </c>
      <c r="I41" s="11" t="n">
        <f aca="false">SUMIFS(Activities!$F$2:$F$190,Activities!$B$2:$B$190,$A41)</f>
        <v>20</v>
      </c>
      <c r="J41" s="11" t="n">
        <f aca="false">SUMIFS(Activities!$F$2:$F$190,Activities!$B$2:$B$190,$A41,Activities!$C$2:$C$190,"Spiritual")</f>
        <v>20</v>
      </c>
      <c r="K41" s="11" t="n">
        <f aca="false">SUMIFS(Activities!$F$2:$F$190,Activities!$B$2:$B$190,$A41,Activities!$C$2:$C$190,"Physical")</f>
        <v>0</v>
      </c>
      <c r="L41" s="11" t="n">
        <f aca="false">SUMIFS(Activities!$F$2:$F$190,Activities!$B$2:$B$190,$A41,Activities!$C$2:$C$190,"Studies")</f>
        <v>0</v>
      </c>
      <c r="M41" s="11" t="n">
        <f aca="false">SUMIFS(Activities!$F$2:$F$190,Activities!$B$2:$B$190,$A41,Activities!$C$2:$C$190,"Professional")</f>
        <v>0</v>
      </c>
      <c r="N41" s="11" t="n">
        <f aca="false">SUMIFS(Activities!$F$2:$F$190,Activities!$B$2:$B$190,$A41,Activities!$C$2:$C$190,"Personal")</f>
        <v>0</v>
      </c>
      <c r="O41" s="11" t="n">
        <f aca="false">SUMIFS(Activities!$F$2:$F$190,Activities!$B$2:$B$190,$A41,Activities!$C$2:$C$190,"Relationships")</f>
        <v>0</v>
      </c>
      <c r="P41" s="11" t="n">
        <f aca="false">SUMIFS(Activities!$F$2:$F$190,Activities!$B$2:$B$190,$A41,Activities!$C$2:$C$190,"Leisure and creativity")</f>
        <v>0</v>
      </c>
      <c r="Q41" s="10" t="n">
        <v>6.6</v>
      </c>
      <c r="R41" s="11"/>
      <c r="S41" s="11" t="n">
        <v>2</v>
      </c>
      <c r="T41" s="11" t="n">
        <v>3</v>
      </c>
      <c r="U41" s="11" t="n">
        <v>3</v>
      </c>
      <c r="V41" s="11" t="n">
        <v>2</v>
      </c>
      <c r="W41" s="11" t="n">
        <v>185</v>
      </c>
      <c r="X41" s="16" t="n">
        <v>5280</v>
      </c>
      <c r="Y41" s="10" t="n">
        <v>2.2</v>
      </c>
      <c r="Z41" s="11" t="n">
        <f aca="false">COUNTIFS(Reflections!$A$2:$A$70,$A41)</f>
        <v>3</v>
      </c>
      <c r="AA41" s="4" t="s">
        <v>80</v>
      </c>
      <c r="AB41" s="11" t="n">
        <v>0</v>
      </c>
      <c r="AC41" s="17"/>
    </row>
    <row r="42" customFormat="false" ht="15" hidden="false" customHeight="false" outlineLevel="0" collapsed="false">
      <c r="A42" s="15" t="n">
        <v>46262</v>
      </c>
      <c r="B42" s="4" t="str">
        <f aca="false">INDEX({"Monday","Tuesday","Wednesday","Thursday","Friday","Saturday","Sunday"},WEEKDAY($A42,2))</f>
        <v>Friday</v>
      </c>
      <c r="C42" s="4" t="s">
        <v>78</v>
      </c>
      <c r="D42" s="11" t="n">
        <f aca="false">COUNTIFS(Intentions!$B$2:$B$365,$A42)</f>
        <v>2</v>
      </c>
      <c r="E42" s="11" t="n">
        <f aca="false">COUNTIFS(Intentions!$B$2:$B$365,$A42,Intentions!$H$2:$H$365,"&lt;&gt;Planned")</f>
        <v>2</v>
      </c>
      <c r="F42" s="11" t="n">
        <f aca="false">COUNTIFS(Intentions!$B$2:$B$365,$A42,Intentions!$H$2:$H$365,"Done")+COUNTIFS(Intentions!$B$2:$B$365,$A42,Intentions!$H$2:$H$365,"Partial")</f>
        <v>2</v>
      </c>
      <c r="G42" s="12" t="n">
        <f aca="false">IF(E42=0,"",SUMIFS(Intentions!$K$2:$K$365,Intentions!$B$2:$B$365,$A42)/E42)</f>
        <v>1</v>
      </c>
      <c r="H42" s="11" t="n">
        <f aca="false">SUMIFS(Intentions!$G$2:$G$365,Intentions!$B$2:$B$365,$A42)</f>
        <v>80</v>
      </c>
      <c r="I42" s="11" t="n">
        <f aca="false">SUMIFS(Activities!$F$2:$F$190,Activities!$B$2:$B$190,$A42)</f>
        <v>90</v>
      </c>
      <c r="J42" s="11" t="n">
        <f aca="false">SUMIFS(Activities!$F$2:$F$190,Activities!$B$2:$B$190,$A42,Activities!$C$2:$C$190,"Spiritual")</f>
        <v>0</v>
      </c>
      <c r="K42" s="11" t="n">
        <f aca="false">SUMIFS(Activities!$F$2:$F$190,Activities!$B$2:$B$190,$A42,Activities!$C$2:$C$190,"Physical")</f>
        <v>0</v>
      </c>
      <c r="L42" s="11" t="n">
        <f aca="false">SUMIFS(Activities!$F$2:$F$190,Activities!$B$2:$B$190,$A42,Activities!$C$2:$C$190,"Studies")</f>
        <v>68</v>
      </c>
      <c r="M42" s="11" t="n">
        <f aca="false">SUMIFS(Activities!$F$2:$F$190,Activities!$B$2:$B$190,$A42,Activities!$C$2:$C$190,"Professional")</f>
        <v>0</v>
      </c>
      <c r="N42" s="11" t="n">
        <f aca="false">SUMIFS(Activities!$F$2:$F$190,Activities!$B$2:$B$190,$A42,Activities!$C$2:$C$190,"Personal")</f>
        <v>0</v>
      </c>
      <c r="O42" s="11" t="n">
        <f aca="false">SUMIFS(Activities!$F$2:$F$190,Activities!$B$2:$B$190,$A42,Activities!$C$2:$C$190,"Relationships")</f>
        <v>22</v>
      </c>
      <c r="P42" s="11" t="n">
        <f aca="false">SUMIFS(Activities!$F$2:$F$190,Activities!$B$2:$B$190,$A42,Activities!$C$2:$C$190,"Leisure and creativity")</f>
        <v>0</v>
      </c>
      <c r="Q42" s="10" t="n">
        <v>7.8</v>
      </c>
      <c r="R42" s="11"/>
      <c r="S42" s="11" t="n">
        <v>4</v>
      </c>
      <c r="T42" s="11" t="n">
        <v>4</v>
      </c>
      <c r="U42" s="11" t="n">
        <v>4</v>
      </c>
      <c r="V42" s="11" t="n">
        <v>1</v>
      </c>
      <c r="W42" s="11" t="n">
        <v>252</v>
      </c>
      <c r="X42" s="16" t="n">
        <v>3809</v>
      </c>
      <c r="Y42" s="10" t="n">
        <v>1.8</v>
      </c>
      <c r="Z42" s="11" t="n">
        <f aca="false">COUNTIFS(Reflections!$A$2:$A$70,$A42)</f>
        <v>0</v>
      </c>
      <c r="AA42" s="4" t="s">
        <v>80</v>
      </c>
      <c r="AB42" s="11" t="n">
        <v>0</v>
      </c>
      <c r="AC42" s="17"/>
    </row>
    <row r="43" customFormat="false" ht="15" hidden="false" customHeight="false" outlineLevel="0" collapsed="false">
      <c r="A43" s="15" t="n">
        <v>46263</v>
      </c>
      <c r="B43" s="4" t="str">
        <f aca="false">INDEX({"Monday","Tuesday","Wednesday","Thursday","Friday","Saturday","Sunday"},WEEKDAY($A43,2))</f>
        <v>Saturday</v>
      </c>
      <c r="C43" s="4" t="s">
        <v>78</v>
      </c>
      <c r="D43" s="11" t="n">
        <f aca="false">COUNTIFS(Intentions!$B$2:$B$365,$A43)</f>
        <v>3</v>
      </c>
      <c r="E43" s="11" t="n">
        <f aca="false">COUNTIFS(Intentions!$B$2:$B$365,$A43,Intentions!$H$2:$H$365,"&lt;&gt;Planned")</f>
        <v>3</v>
      </c>
      <c r="F43" s="11" t="n">
        <f aca="false">COUNTIFS(Intentions!$B$2:$B$365,$A43,Intentions!$H$2:$H$365,"Done")+COUNTIFS(Intentions!$B$2:$B$365,$A43,Intentions!$H$2:$H$365,"Partial")</f>
        <v>1</v>
      </c>
      <c r="G43" s="12" t="n">
        <f aca="false">IF(E43=0,"",SUMIFS(Intentions!$K$2:$K$365,Intentions!$B$2:$B$365,$A43)/E43)</f>
        <v>0.333333333333333</v>
      </c>
      <c r="H43" s="11" t="n">
        <f aca="false">SUMIFS(Intentions!$G$2:$G$365,Intentions!$B$2:$B$365,$A43)</f>
        <v>160</v>
      </c>
      <c r="I43" s="11" t="n">
        <f aca="false">SUMIFS(Activities!$F$2:$F$190,Activities!$B$2:$B$190,$A43)</f>
        <v>68</v>
      </c>
      <c r="J43" s="11" t="n">
        <f aca="false">SUMIFS(Activities!$F$2:$F$190,Activities!$B$2:$B$190,$A43,Activities!$C$2:$C$190,"Spiritual")</f>
        <v>0</v>
      </c>
      <c r="K43" s="11" t="n">
        <f aca="false">SUMIFS(Activities!$F$2:$F$190,Activities!$B$2:$B$190,$A43,Activities!$C$2:$C$190,"Physical")</f>
        <v>0</v>
      </c>
      <c r="L43" s="11" t="n">
        <f aca="false">SUMIFS(Activities!$F$2:$F$190,Activities!$B$2:$B$190,$A43,Activities!$C$2:$C$190,"Studies")</f>
        <v>68</v>
      </c>
      <c r="M43" s="11" t="n">
        <f aca="false">SUMIFS(Activities!$F$2:$F$190,Activities!$B$2:$B$190,$A43,Activities!$C$2:$C$190,"Professional")</f>
        <v>0</v>
      </c>
      <c r="N43" s="11" t="n">
        <f aca="false">SUMIFS(Activities!$F$2:$F$190,Activities!$B$2:$B$190,$A43,Activities!$C$2:$C$190,"Personal")</f>
        <v>0</v>
      </c>
      <c r="O43" s="11" t="n">
        <f aca="false">SUMIFS(Activities!$F$2:$F$190,Activities!$B$2:$B$190,$A43,Activities!$C$2:$C$190,"Relationships")</f>
        <v>0</v>
      </c>
      <c r="P43" s="11" t="n">
        <f aca="false">SUMIFS(Activities!$F$2:$F$190,Activities!$B$2:$B$190,$A43,Activities!$C$2:$C$190,"Leisure and creativity")</f>
        <v>0</v>
      </c>
      <c r="Q43" s="10" t="n">
        <v>8.2</v>
      </c>
      <c r="R43" s="11"/>
      <c r="S43" s="11" t="n">
        <v>5</v>
      </c>
      <c r="T43" s="11" t="n">
        <v>4</v>
      </c>
      <c r="U43" s="11" t="n">
        <v>2</v>
      </c>
      <c r="V43" s="11" t="n">
        <v>5</v>
      </c>
      <c r="W43" s="11" t="n">
        <v>175</v>
      </c>
      <c r="X43" s="16" t="n">
        <v>8582</v>
      </c>
      <c r="Y43" s="10" t="n">
        <v>1.8</v>
      </c>
      <c r="Z43" s="11" t="n">
        <f aca="false">COUNTIFS(Reflections!$A$2:$A$70,$A43)</f>
        <v>0</v>
      </c>
      <c r="AA43" s="4" t="s">
        <v>79</v>
      </c>
      <c r="AB43" s="11" t="n">
        <v>1</v>
      </c>
      <c r="AC43" s="17"/>
    </row>
    <row r="44" customFormat="false" ht="15" hidden="false" customHeight="false" outlineLevel="0" collapsed="false">
      <c r="A44" s="15" t="n">
        <v>46264</v>
      </c>
      <c r="B44" s="4" t="str">
        <f aca="false">INDEX({"Monday","Tuesday","Wednesday","Thursday","Friday","Saturday","Sunday"},WEEKDAY($A44,2))</f>
        <v>Sunday</v>
      </c>
      <c r="C44" s="4" t="s">
        <v>81</v>
      </c>
      <c r="D44" s="11" t="n">
        <f aca="false">COUNTIFS(Intentions!$B$2:$B$365,$A44)</f>
        <v>0</v>
      </c>
      <c r="E44" s="11" t="n">
        <f aca="false">COUNTIFS(Intentions!$B$2:$B$365,$A44,Intentions!$H$2:$H$365,"&lt;&gt;Planned")</f>
        <v>0</v>
      </c>
      <c r="F44" s="11" t="n">
        <f aca="false">COUNTIFS(Intentions!$B$2:$B$365,$A44,Intentions!$H$2:$H$365,"Done")+COUNTIFS(Intentions!$B$2:$B$365,$A44,Intentions!$H$2:$H$365,"Partial")</f>
        <v>0</v>
      </c>
      <c r="G44" s="12" t="str">
        <f aca="false">IF(E44=0,"",SUMIFS(Intentions!$K$2:$K$365,Intentions!$B$2:$B$365,$A44)/E44)</f>
        <v/>
      </c>
      <c r="H44" s="11" t="n">
        <f aca="false">SUMIFS(Intentions!$G$2:$G$365,Intentions!$B$2:$B$365,$A44)</f>
        <v>0</v>
      </c>
      <c r="I44" s="11" t="n">
        <f aca="false">SUMIFS(Activities!$F$2:$F$190,Activities!$B$2:$B$190,$A44)</f>
        <v>0</v>
      </c>
      <c r="J44" s="11" t="n">
        <f aca="false">SUMIFS(Activities!$F$2:$F$190,Activities!$B$2:$B$190,$A44,Activities!$C$2:$C$190,"Spiritual")</f>
        <v>0</v>
      </c>
      <c r="K44" s="11" t="n">
        <f aca="false">SUMIFS(Activities!$F$2:$F$190,Activities!$B$2:$B$190,$A44,Activities!$C$2:$C$190,"Physical")</f>
        <v>0</v>
      </c>
      <c r="L44" s="11" t="n">
        <f aca="false">SUMIFS(Activities!$F$2:$F$190,Activities!$B$2:$B$190,$A44,Activities!$C$2:$C$190,"Studies")</f>
        <v>0</v>
      </c>
      <c r="M44" s="11" t="n">
        <f aca="false">SUMIFS(Activities!$F$2:$F$190,Activities!$B$2:$B$190,$A44,Activities!$C$2:$C$190,"Professional")</f>
        <v>0</v>
      </c>
      <c r="N44" s="11" t="n">
        <f aca="false">SUMIFS(Activities!$F$2:$F$190,Activities!$B$2:$B$190,$A44,Activities!$C$2:$C$190,"Personal")</f>
        <v>0</v>
      </c>
      <c r="O44" s="11" t="n">
        <f aca="false">SUMIFS(Activities!$F$2:$F$190,Activities!$B$2:$B$190,$A44,Activities!$C$2:$C$190,"Relationships")</f>
        <v>0</v>
      </c>
      <c r="P44" s="11" t="n">
        <f aca="false">SUMIFS(Activities!$F$2:$F$190,Activities!$B$2:$B$190,$A44,Activities!$C$2:$C$190,"Leisure and creativity")</f>
        <v>0</v>
      </c>
      <c r="Q44" s="10"/>
      <c r="R44" s="11"/>
      <c r="S44" s="11"/>
      <c r="T44" s="11"/>
      <c r="U44" s="11"/>
      <c r="V44" s="11"/>
      <c r="W44" s="11"/>
      <c r="X44" s="16"/>
      <c r="Y44" s="10"/>
      <c r="Z44" s="11" t="n">
        <f aca="false">COUNTIFS(Reflections!$A$2:$A$70,$A44)</f>
        <v>0</v>
      </c>
      <c r="AA44" s="4" t="s">
        <v>82</v>
      </c>
      <c r="AB44" s="11"/>
      <c r="AC44" s="17"/>
    </row>
    <row r="45" customFormat="false" ht="15" hidden="false" customHeight="false" outlineLevel="0" collapsed="false">
      <c r="A45" s="15" t="n">
        <v>46265</v>
      </c>
      <c r="B45" s="4" t="str">
        <f aca="false">INDEX({"Monday","Tuesday","Wednesday","Thursday","Friday","Saturday","Sunday"},WEEKDAY($A45,2))</f>
        <v>Monday</v>
      </c>
      <c r="C45" s="4" t="s">
        <v>78</v>
      </c>
      <c r="D45" s="11" t="n">
        <f aca="false">COUNTIFS(Intentions!$B$2:$B$365,$A45)</f>
        <v>6</v>
      </c>
      <c r="E45" s="11" t="n">
        <f aca="false">COUNTIFS(Intentions!$B$2:$B$365,$A45,Intentions!$H$2:$H$365,"&lt;&gt;Planned")</f>
        <v>6</v>
      </c>
      <c r="F45" s="11" t="n">
        <f aca="false">COUNTIFS(Intentions!$B$2:$B$365,$A45,Intentions!$H$2:$H$365,"Done")+COUNTIFS(Intentions!$B$2:$B$365,$A45,Intentions!$H$2:$H$365,"Partial")</f>
        <v>3</v>
      </c>
      <c r="G45" s="12" t="n">
        <f aca="false">IF(E45=0,"",SUMIFS(Intentions!$K$2:$K$365,Intentions!$B$2:$B$365,$A45)/E45)</f>
        <v>0.5</v>
      </c>
      <c r="H45" s="11" t="n">
        <f aca="false">SUMIFS(Intentions!$G$2:$G$365,Intentions!$B$2:$B$365,$A45)</f>
        <v>275</v>
      </c>
      <c r="I45" s="11" t="n">
        <f aca="false">SUMIFS(Activities!$F$2:$F$190,Activities!$B$2:$B$190,$A45)</f>
        <v>57</v>
      </c>
      <c r="J45" s="11" t="n">
        <f aca="false">SUMIFS(Activities!$F$2:$F$190,Activities!$B$2:$B$190,$A45,Activities!$C$2:$C$190,"Spiritual")</f>
        <v>33</v>
      </c>
      <c r="K45" s="11" t="n">
        <f aca="false">SUMIFS(Activities!$F$2:$F$190,Activities!$B$2:$B$190,$A45,Activities!$C$2:$C$190,"Physical")</f>
        <v>24</v>
      </c>
      <c r="L45" s="11" t="n">
        <f aca="false">SUMIFS(Activities!$F$2:$F$190,Activities!$B$2:$B$190,$A45,Activities!$C$2:$C$190,"Studies")</f>
        <v>0</v>
      </c>
      <c r="M45" s="11" t="n">
        <f aca="false">SUMIFS(Activities!$F$2:$F$190,Activities!$B$2:$B$190,$A45,Activities!$C$2:$C$190,"Professional")</f>
        <v>0</v>
      </c>
      <c r="N45" s="11" t="n">
        <f aca="false">SUMIFS(Activities!$F$2:$F$190,Activities!$B$2:$B$190,$A45,Activities!$C$2:$C$190,"Personal")</f>
        <v>0</v>
      </c>
      <c r="O45" s="11" t="n">
        <f aca="false">SUMIFS(Activities!$F$2:$F$190,Activities!$B$2:$B$190,$A45,Activities!$C$2:$C$190,"Relationships")</f>
        <v>0</v>
      </c>
      <c r="P45" s="11" t="n">
        <f aca="false">SUMIFS(Activities!$F$2:$F$190,Activities!$B$2:$B$190,$A45,Activities!$C$2:$C$190,"Leisure and creativity")</f>
        <v>0</v>
      </c>
      <c r="Q45" s="10" t="n">
        <v>4.5</v>
      </c>
      <c r="R45" s="11"/>
      <c r="S45" s="11" t="n">
        <v>1</v>
      </c>
      <c r="T45" s="11" t="n">
        <v>1</v>
      </c>
      <c r="U45" s="11" t="n">
        <v>3</v>
      </c>
      <c r="V45" s="11" t="n">
        <v>4</v>
      </c>
      <c r="W45" s="11" t="n">
        <v>276</v>
      </c>
      <c r="X45" s="16" t="n">
        <v>7412</v>
      </c>
      <c r="Y45" s="10" t="n">
        <v>2.2</v>
      </c>
      <c r="Z45" s="11" t="n">
        <f aca="false">COUNTIFS(Reflections!$A$2:$A$70,$A45)</f>
        <v>0</v>
      </c>
      <c r="AA45" s="4" t="s">
        <v>80</v>
      </c>
      <c r="AB45" s="11" t="n">
        <v>0</v>
      </c>
      <c r="AC45" s="17"/>
    </row>
    <row r="46" customFormat="false" ht="15" hidden="false" customHeight="false" outlineLevel="0" collapsed="false">
      <c r="A46" s="15" t="n">
        <v>46266</v>
      </c>
      <c r="B46" s="4" t="str">
        <f aca="false">INDEX({"Monday","Tuesday","Wednesday","Thursday","Friday","Saturday","Sunday"},WEEKDAY($A46,2))</f>
        <v>Tuesday</v>
      </c>
      <c r="C46" s="4" t="s">
        <v>78</v>
      </c>
      <c r="D46" s="11" t="n">
        <f aca="false">COUNTIFS(Intentions!$B$2:$B$365,$A46)</f>
        <v>2</v>
      </c>
      <c r="E46" s="11" t="n">
        <f aca="false">COUNTIFS(Intentions!$B$2:$B$365,$A46,Intentions!$H$2:$H$365,"&lt;&gt;Planned")</f>
        <v>2</v>
      </c>
      <c r="F46" s="11" t="n">
        <f aca="false">COUNTIFS(Intentions!$B$2:$B$365,$A46,Intentions!$H$2:$H$365,"Done")+COUNTIFS(Intentions!$B$2:$B$365,$A46,Intentions!$H$2:$H$365,"Partial")</f>
        <v>1</v>
      </c>
      <c r="G46" s="12" t="n">
        <f aca="false">IF(E46=0,"",SUMIFS(Intentions!$K$2:$K$365,Intentions!$B$2:$B$365,$A46)/E46)</f>
        <v>0.5</v>
      </c>
      <c r="H46" s="11" t="n">
        <f aca="false">SUMIFS(Intentions!$G$2:$G$365,Intentions!$B$2:$B$365,$A46)</f>
        <v>90</v>
      </c>
      <c r="I46" s="11" t="n">
        <f aca="false">SUMIFS(Activities!$F$2:$F$190,Activities!$B$2:$B$190,$A46)</f>
        <v>21</v>
      </c>
      <c r="J46" s="11" t="n">
        <f aca="false">SUMIFS(Activities!$F$2:$F$190,Activities!$B$2:$B$190,$A46,Activities!$C$2:$C$190,"Spiritual")</f>
        <v>0</v>
      </c>
      <c r="K46" s="11" t="n">
        <f aca="false">SUMIFS(Activities!$F$2:$F$190,Activities!$B$2:$B$190,$A46,Activities!$C$2:$C$190,"Physical")</f>
        <v>0</v>
      </c>
      <c r="L46" s="11" t="n">
        <f aca="false">SUMIFS(Activities!$F$2:$F$190,Activities!$B$2:$B$190,$A46,Activities!$C$2:$C$190,"Studies")</f>
        <v>0</v>
      </c>
      <c r="M46" s="11" t="n">
        <f aca="false">SUMIFS(Activities!$F$2:$F$190,Activities!$B$2:$B$190,$A46,Activities!$C$2:$C$190,"Professional")</f>
        <v>0</v>
      </c>
      <c r="N46" s="11" t="n">
        <f aca="false">SUMIFS(Activities!$F$2:$F$190,Activities!$B$2:$B$190,$A46,Activities!$C$2:$C$190,"Personal")</f>
        <v>21</v>
      </c>
      <c r="O46" s="11" t="n">
        <f aca="false">SUMIFS(Activities!$F$2:$F$190,Activities!$B$2:$B$190,$A46,Activities!$C$2:$C$190,"Relationships")</f>
        <v>0</v>
      </c>
      <c r="P46" s="11" t="n">
        <f aca="false">SUMIFS(Activities!$F$2:$F$190,Activities!$B$2:$B$190,$A46,Activities!$C$2:$C$190,"Leisure and creativity")</f>
        <v>0</v>
      </c>
      <c r="Q46" s="10" t="n">
        <v>8.6</v>
      </c>
      <c r="R46" s="11"/>
      <c r="S46" s="11" t="n">
        <v>4</v>
      </c>
      <c r="T46" s="11" t="n">
        <v>4</v>
      </c>
      <c r="U46" s="11" t="n">
        <v>3</v>
      </c>
      <c r="V46" s="11" t="n">
        <v>4</v>
      </c>
      <c r="W46" s="11" t="n">
        <v>244</v>
      </c>
      <c r="X46" s="16" t="n">
        <v>3783</v>
      </c>
      <c r="Y46" s="10" t="n">
        <v>1.7</v>
      </c>
      <c r="Z46" s="11" t="n">
        <f aca="false">COUNTIFS(Reflections!$A$2:$A$70,$A46)</f>
        <v>1</v>
      </c>
      <c r="AA46" s="4" t="s">
        <v>80</v>
      </c>
      <c r="AB46" s="11" t="n">
        <v>0</v>
      </c>
      <c r="AC46" s="17"/>
    </row>
    <row r="47" customFormat="false" ht="15" hidden="false" customHeight="false" outlineLevel="0" collapsed="false">
      <c r="A47" s="15" t="n">
        <v>46267</v>
      </c>
      <c r="B47" s="4" t="str">
        <f aca="false">INDEX({"Monday","Tuesday","Wednesday","Thursday","Friday","Saturday","Sunday"},WEEKDAY($A47,2))</f>
        <v>Wednesday</v>
      </c>
      <c r="C47" s="4" t="s">
        <v>78</v>
      </c>
      <c r="D47" s="11" t="n">
        <f aca="false">COUNTIFS(Intentions!$B$2:$B$365,$A47)</f>
        <v>3</v>
      </c>
      <c r="E47" s="11" t="n">
        <f aca="false">COUNTIFS(Intentions!$B$2:$B$365,$A47,Intentions!$H$2:$H$365,"&lt;&gt;Planned")</f>
        <v>3</v>
      </c>
      <c r="F47" s="11" t="n">
        <f aca="false">COUNTIFS(Intentions!$B$2:$B$365,$A47,Intentions!$H$2:$H$365,"Done")+COUNTIFS(Intentions!$B$2:$B$365,$A47,Intentions!$H$2:$H$365,"Partial")</f>
        <v>1</v>
      </c>
      <c r="G47" s="12" t="n">
        <f aca="false">IF(E47=0,"",SUMIFS(Intentions!$K$2:$K$365,Intentions!$B$2:$B$365,$A47)/E47)</f>
        <v>0.333333333333333</v>
      </c>
      <c r="H47" s="11" t="n">
        <f aca="false">SUMIFS(Intentions!$G$2:$G$365,Intentions!$B$2:$B$365,$A47)</f>
        <v>135</v>
      </c>
      <c r="I47" s="11" t="n">
        <f aca="false">SUMIFS(Activities!$F$2:$F$190,Activities!$B$2:$B$190,$A47)</f>
        <v>69</v>
      </c>
      <c r="J47" s="11" t="n">
        <f aca="false">SUMIFS(Activities!$F$2:$F$190,Activities!$B$2:$B$190,$A47,Activities!$C$2:$C$190,"Spiritual")</f>
        <v>0</v>
      </c>
      <c r="K47" s="11" t="n">
        <f aca="false">SUMIFS(Activities!$F$2:$F$190,Activities!$B$2:$B$190,$A47,Activities!$C$2:$C$190,"Physical")</f>
        <v>0</v>
      </c>
      <c r="L47" s="11" t="n">
        <f aca="false">SUMIFS(Activities!$F$2:$F$190,Activities!$B$2:$B$190,$A47,Activities!$C$2:$C$190,"Studies")</f>
        <v>69</v>
      </c>
      <c r="M47" s="11" t="n">
        <f aca="false">SUMIFS(Activities!$F$2:$F$190,Activities!$B$2:$B$190,$A47,Activities!$C$2:$C$190,"Professional")</f>
        <v>0</v>
      </c>
      <c r="N47" s="11" t="n">
        <f aca="false">SUMIFS(Activities!$F$2:$F$190,Activities!$B$2:$B$190,$A47,Activities!$C$2:$C$190,"Personal")</f>
        <v>0</v>
      </c>
      <c r="O47" s="11" t="n">
        <f aca="false">SUMIFS(Activities!$F$2:$F$190,Activities!$B$2:$B$190,$A47,Activities!$C$2:$C$190,"Relationships")</f>
        <v>0</v>
      </c>
      <c r="P47" s="11" t="n">
        <f aca="false">SUMIFS(Activities!$F$2:$F$190,Activities!$B$2:$B$190,$A47,Activities!$C$2:$C$190,"Leisure and creativity")</f>
        <v>0</v>
      </c>
      <c r="Q47" s="10" t="n">
        <v>7.3</v>
      </c>
      <c r="R47" s="11"/>
      <c r="S47" s="11" t="n">
        <v>3</v>
      </c>
      <c r="T47" s="11" t="n">
        <v>3</v>
      </c>
      <c r="U47" s="11" t="n">
        <v>3</v>
      </c>
      <c r="V47" s="11" t="n">
        <v>3</v>
      </c>
      <c r="W47" s="11" t="n">
        <v>237</v>
      </c>
      <c r="X47" s="16" t="n">
        <v>6114</v>
      </c>
      <c r="Y47" s="10" t="n">
        <v>2.1</v>
      </c>
      <c r="Z47" s="11" t="n">
        <f aca="false">COUNTIFS(Reflections!$A$2:$A$70,$A47)</f>
        <v>0</v>
      </c>
      <c r="AA47" s="4" t="s">
        <v>80</v>
      </c>
      <c r="AB47" s="11" t="n">
        <v>0</v>
      </c>
      <c r="AC47" s="17"/>
    </row>
    <row r="48" customFormat="false" ht="15" hidden="false" customHeight="false" outlineLevel="0" collapsed="false">
      <c r="A48" s="15" t="n">
        <v>46268</v>
      </c>
      <c r="B48" s="4" t="str">
        <f aca="false">INDEX({"Monday","Tuesday","Wednesday","Thursday","Friday","Saturday","Sunday"},WEEKDAY($A48,2))</f>
        <v>Thursday</v>
      </c>
      <c r="C48" s="4" t="s">
        <v>78</v>
      </c>
      <c r="D48" s="11" t="n">
        <f aca="false">COUNTIFS(Intentions!$B$2:$B$365,$A48)</f>
        <v>6</v>
      </c>
      <c r="E48" s="11" t="n">
        <f aca="false">COUNTIFS(Intentions!$B$2:$B$365,$A48,Intentions!$H$2:$H$365,"&lt;&gt;Planned")</f>
        <v>6</v>
      </c>
      <c r="F48" s="11" t="n">
        <f aca="false">COUNTIFS(Intentions!$B$2:$B$365,$A48,Intentions!$H$2:$H$365,"Done")+COUNTIFS(Intentions!$B$2:$B$365,$A48,Intentions!$H$2:$H$365,"Partial")</f>
        <v>1</v>
      </c>
      <c r="G48" s="12" t="n">
        <f aca="false">IF(E48=0,"",SUMIFS(Intentions!$K$2:$K$365,Intentions!$B$2:$B$365,$A48)/E48)</f>
        <v>0.166666666666667</v>
      </c>
      <c r="H48" s="11" t="n">
        <f aca="false">SUMIFS(Intentions!$G$2:$G$365,Intentions!$B$2:$B$365,$A48)</f>
        <v>375</v>
      </c>
      <c r="I48" s="11" t="n">
        <f aca="false">SUMIFS(Activities!$F$2:$F$190,Activities!$B$2:$B$190,$A48)</f>
        <v>150</v>
      </c>
      <c r="J48" s="11" t="n">
        <f aca="false">SUMIFS(Activities!$F$2:$F$190,Activities!$B$2:$B$190,$A48,Activities!$C$2:$C$190,"Spiritual")</f>
        <v>0</v>
      </c>
      <c r="K48" s="11" t="n">
        <f aca="false">SUMIFS(Activities!$F$2:$F$190,Activities!$B$2:$B$190,$A48,Activities!$C$2:$C$190,"Physical")</f>
        <v>0</v>
      </c>
      <c r="L48" s="11" t="n">
        <f aca="false">SUMIFS(Activities!$F$2:$F$190,Activities!$B$2:$B$190,$A48,Activities!$C$2:$C$190,"Studies")</f>
        <v>0</v>
      </c>
      <c r="M48" s="11" t="n">
        <f aca="false">SUMIFS(Activities!$F$2:$F$190,Activities!$B$2:$B$190,$A48,Activities!$C$2:$C$190,"Professional")</f>
        <v>0</v>
      </c>
      <c r="N48" s="11" t="n">
        <f aca="false">SUMIFS(Activities!$F$2:$F$190,Activities!$B$2:$B$190,$A48,Activities!$C$2:$C$190,"Personal")</f>
        <v>30</v>
      </c>
      <c r="O48" s="11" t="n">
        <f aca="false">SUMIFS(Activities!$F$2:$F$190,Activities!$B$2:$B$190,$A48,Activities!$C$2:$C$190,"Relationships")</f>
        <v>0</v>
      </c>
      <c r="P48" s="11" t="n">
        <f aca="false">SUMIFS(Activities!$F$2:$F$190,Activities!$B$2:$B$190,$A48,Activities!$C$2:$C$190,"Leisure and creativity")</f>
        <v>120</v>
      </c>
      <c r="Q48" s="10" t="n">
        <v>7.8</v>
      </c>
      <c r="R48" s="11"/>
      <c r="S48" s="11" t="n">
        <v>3</v>
      </c>
      <c r="T48" s="11" t="n">
        <v>2</v>
      </c>
      <c r="U48" s="11" t="n">
        <v>2</v>
      </c>
      <c r="V48" s="11" t="n">
        <v>5</v>
      </c>
      <c r="W48" s="11" t="n">
        <v>312</v>
      </c>
      <c r="X48" s="16" t="n">
        <v>6022</v>
      </c>
      <c r="Y48" s="10" t="n">
        <v>1.6</v>
      </c>
      <c r="Z48" s="11" t="n">
        <f aca="false">COUNTIFS(Reflections!$A$2:$A$70,$A48)</f>
        <v>2</v>
      </c>
      <c r="AA48" s="4" t="s">
        <v>80</v>
      </c>
      <c r="AB48" s="11" t="n">
        <v>0</v>
      </c>
      <c r="AC48" s="17" t="s">
        <v>85</v>
      </c>
    </row>
    <row r="49" customFormat="false" ht="15" hidden="false" customHeight="false" outlineLevel="0" collapsed="false">
      <c r="A49" s="15" t="n">
        <v>46269</v>
      </c>
      <c r="B49" s="4" t="str">
        <f aca="false">INDEX({"Monday","Tuesday","Wednesday","Thursday","Friday","Saturday","Sunday"},WEEKDAY($A49,2))</f>
        <v>Friday</v>
      </c>
      <c r="C49" s="4" t="s">
        <v>78</v>
      </c>
      <c r="D49" s="11" t="n">
        <f aca="false">COUNTIFS(Intentions!$B$2:$B$365,$A49)</f>
        <v>4</v>
      </c>
      <c r="E49" s="11" t="n">
        <f aca="false">COUNTIFS(Intentions!$B$2:$B$365,$A49,Intentions!$H$2:$H$365,"&lt;&gt;Planned")</f>
        <v>4</v>
      </c>
      <c r="F49" s="11" t="n">
        <f aca="false">COUNTIFS(Intentions!$B$2:$B$365,$A49,Intentions!$H$2:$H$365,"Done")+COUNTIFS(Intentions!$B$2:$B$365,$A49,Intentions!$H$2:$H$365,"Partial")</f>
        <v>3</v>
      </c>
      <c r="G49" s="12" t="n">
        <f aca="false">IF(E49=0,"",SUMIFS(Intentions!$K$2:$K$365,Intentions!$B$2:$B$365,$A49)/E49)</f>
        <v>0.75</v>
      </c>
      <c r="H49" s="11" t="n">
        <f aca="false">SUMIFS(Intentions!$G$2:$G$365,Intentions!$B$2:$B$365,$A49)</f>
        <v>220</v>
      </c>
      <c r="I49" s="11" t="n">
        <f aca="false">SUMIFS(Activities!$F$2:$F$190,Activities!$B$2:$B$190,$A49)</f>
        <v>87</v>
      </c>
      <c r="J49" s="11" t="n">
        <f aca="false">SUMIFS(Activities!$F$2:$F$190,Activities!$B$2:$B$190,$A49,Activities!$C$2:$C$190,"Spiritual")</f>
        <v>20</v>
      </c>
      <c r="K49" s="11" t="n">
        <f aca="false">SUMIFS(Activities!$F$2:$F$190,Activities!$B$2:$B$190,$A49,Activities!$C$2:$C$190,"Physical")</f>
        <v>0</v>
      </c>
      <c r="L49" s="11" t="n">
        <f aca="false">SUMIFS(Activities!$F$2:$F$190,Activities!$B$2:$B$190,$A49,Activities!$C$2:$C$190,"Studies")</f>
        <v>52</v>
      </c>
      <c r="M49" s="11" t="n">
        <f aca="false">SUMIFS(Activities!$F$2:$F$190,Activities!$B$2:$B$190,$A49,Activities!$C$2:$C$190,"Professional")</f>
        <v>0</v>
      </c>
      <c r="N49" s="11" t="n">
        <f aca="false">SUMIFS(Activities!$F$2:$F$190,Activities!$B$2:$B$190,$A49,Activities!$C$2:$C$190,"Personal")</f>
        <v>0</v>
      </c>
      <c r="O49" s="11" t="n">
        <f aca="false">SUMIFS(Activities!$F$2:$F$190,Activities!$B$2:$B$190,$A49,Activities!$C$2:$C$190,"Relationships")</f>
        <v>15</v>
      </c>
      <c r="P49" s="11" t="n">
        <f aca="false">SUMIFS(Activities!$F$2:$F$190,Activities!$B$2:$B$190,$A49,Activities!$C$2:$C$190,"Leisure and creativity")</f>
        <v>0</v>
      </c>
      <c r="Q49" s="10" t="n">
        <v>8.7</v>
      </c>
      <c r="R49" s="11"/>
      <c r="S49" s="11" t="n">
        <v>5</v>
      </c>
      <c r="T49" s="11" t="n">
        <v>5</v>
      </c>
      <c r="U49" s="11" t="n">
        <v>4</v>
      </c>
      <c r="V49" s="11" t="n">
        <v>3</v>
      </c>
      <c r="W49" s="11" t="n">
        <v>139</v>
      </c>
      <c r="X49" s="16" t="n">
        <v>2275</v>
      </c>
      <c r="Y49" s="10" t="n">
        <v>1.2</v>
      </c>
      <c r="Z49" s="11" t="n">
        <f aca="false">COUNTIFS(Reflections!$A$2:$A$70,$A49)</f>
        <v>1</v>
      </c>
      <c r="AA49" s="4" t="s">
        <v>80</v>
      </c>
      <c r="AB49" s="11" t="n">
        <v>0</v>
      </c>
      <c r="AC49" s="17"/>
    </row>
    <row r="50" customFormat="false" ht="15" hidden="false" customHeight="false" outlineLevel="0" collapsed="false">
      <c r="A50" s="15" t="n">
        <v>46270</v>
      </c>
      <c r="B50" s="4" t="str">
        <f aca="false">INDEX({"Monday","Tuesday","Wednesday","Thursday","Friday","Saturday","Sunday"},WEEKDAY($A50,2))</f>
        <v>Saturday</v>
      </c>
      <c r="C50" s="4" t="s">
        <v>78</v>
      </c>
      <c r="D50" s="11" t="n">
        <f aca="false">COUNTIFS(Intentions!$B$2:$B$365,$A50)</f>
        <v>5</v>
      </c>
      <c r="E50" s="11" t="n">
        <f aca="false">COUNTIFS(Intentions!$B$2:$B$365,$A50,Intentions!$H$2:$H$365,"&lt;&gt;Planned")</f>
        <v>5</v>
      </c>
      <c r="F50" s="11" t="n">
        <f aca="false">COUNTIFS(Intentions!$B$2:$B$365,$A50,Intentions!$H$2:$H$365,"Done")+COUNTIFS(Intentions!$B$2:$B$365,$A50,Intentions!$H$2:$H$365,"Partial")</f>
        <v>3</v>
      </c>
      <c r="G50" s="12" t="n">
        <f aca="false">IF(E50=0,"",SUMIFS(Intentions!$K$2:$K$365,Intentions!$B$2:$B$365,$A50)/E50)</f>
        <v>0.6</v>
      </c>
      <c r="H50" s="11" t="n">
        <f aca="false">SUMIFS(Intentions!$G$2:$G$365,Intentions!$B$2:$B$365,$A50)</f>
        <v>195</v>
      </c>
      <c r="I50" s="11" t="n">
        <f aca="false">SUMIFS(Activities!$F$2:$F$190,Activities!$B$2:$B$190,$A50)</f>
        <v>92</v>
      </c>
      <c r="J50" s="11" t="n">
        <f aca="false">SUMIFS(Activities!$F$2:$F$190,Activities!$B$2:$B$190,$A50,Activities!$C$2:$C$190,"Spiritual")</f>
        <v>15</v>
      </c>
      <c r="K50" s="11" t="n">
        <f aca="false">SUMIFS(Activities!$F$2:$F$190,Activities!$B$2:$B$190,$A50,Activities!$C$2:$C$190,"Physical")</f>
        <v>0</v>
      </c>
      <c r="L50" s="11" t="n">
        <f aca="false">SUMIFS(Activities!$F$2:$F$190,Activities!$B$2:$B$190,$A50,Activities!$C$2:$C$190,"Studies")</f>
        <v>52</v>
      </c>
      <c r="M50" s="11" t="n">
        <f aca="false">SUMIFS(Activities!$F$2:$F$190,Activities!$B$2:$B$190,$A50,Activities!$C$2:$C$190,"Professional")</f>
        <v>0</v>
      </c>
      <c r="N50" s="11" t="n">
        <f aca="false">SUMIFS(Activities!$F$2:$F$190,Activities!$B$2:$B$190,$A50,Activities!$C$2:$C$190,"Personal")</f>
        <v>25</v>
      </c>
      <c r="O50" s="11" t="n">
        <f aca="false">SUMIFS(Activities!$F$2:$F$190,Activities!$B$2:$B$190,$A50,Activities!$C$2:$C$190,"Relationships")</f>
        <v>0</v>
      </c>
      <c r="P50" s="11" t="n">
        <f aca="false">SUMIFS(Activities!$F$2:$F$190,Activities!$B$2:$B$190,$A50,Activities!$C$2:$C$190,"Leisure and creativity")</f>
        <v>0</v>
      </c>
      <c r="Q50" s="10" t="n">
        <v>7</v>
      </c>
      <c r="R50" s="11"/>
      <c r="S50" s="11" t="n">
        <v>3</v>
      </c>
      <c r="T50" s="11" t="n">
        <v>3</v>
      </c>
      <c r="U50" s="11" t="n">
        <v>3</v>
      </c>
      <c r="V50" s="11" t="n">
        <v>4</v>
      </c>
      <c r="W50" s="11" t="n">
        <v>192</v>
      </c>
      <c r="X50" s="16" t="n">
        <v>5043</v>
      </c>
      <c r="Y50" s="10" t="n">
        <v>1.4</v>
      </c>
      <c r="Z50" s="11" t="n">
        <f aca="false">COUNTIFS(Reflections!$A$2:$A$70,$A50)</f>
        <v>1</v>
      </c>
      <c r="AA50" s="4" t="s">
        <v>80</v>
      </c>
      <c r="AB50" s="11" t="n">
        <v>0</v>
      </c>
      <c r="AC50" s="17" t="s">
        <v>86</v>
      </c>
    </row>
    <row r="51" customFormat="false" ht="15" hidden="false" customHeight="false" outlineLevel="0" collapsed="false">
      <c r="A51" s="15" t="n">
        <v>46271</v>
      </c>
      <c r="B51" s="4" t="str">
        <f aca="false">INDEX({"Monday","Tuesday","Wednesday","Thursday","Friday","Saturday","Sunday"},WEEKDAY($A51,2))</f>
        <v>Sunday</v>
      </c>
      <c r="C51" s="4" t="s">
        <v>78</v>
      </c>
      <c r="D51" s="11" t="n">
        <f aca="false">COUNTIFS(Intentions!$B$2:$B$365,$A51)</f>
        <v>4</v>
      </c>
      <c r="E51" s="11" t="n">
        <f aca="false">COUNTIFS(Intentions!$B$2:$B$365,$A51,Intentions!$H$2:$H$365,"&lt;&gt;Planned")</f>
        <v>0</v>
      </c>
      <c r="F51" s="11" t="n">
        <f aca="false">COUNTIFS(Intentions!$B$2:$B$365,$A51,Intentions!$H$2:$H$365,"Done")+COUNTIFS(Intentions!$B$2:$B$365,$A51,Intentions!$H$2:$H$365,"Partial")</f>
        <v>0</v>
      </c>
      <c r="G51" s="12" t="str">
        <f aca="false">IF(E51=0,"",SUMIFS(Intentions!$K$2:$K$365,Intentions!$B$2:$B$365,$A51)/E51)</f>
        <v/>
      </c>
      <c r="H51" s="11" t="n">
        <f aca="false">SUMIFS(Intentions!$G$2:$G$365,Intentions!$B$2:$B$365,$A51)</f>
        <v>150</v>
      </c>
      <c r="I51" s="11" t="n">
        <f aca="false">SUMIFS(Activities!$F$2:$F$190,Activities!$B$2:$B$190,$A51)</f>
        <v>0</v>
      </c>
      <c r="J51" s="11" t="n">
        <f aca="false">SUMIFS(Activities!$F$2:$F$190,Activities!$B$2:$B$190,$A51,Activities!$C$2:$C$190,"Spiritual")</f>
        <v>0</v>
      </c>
      <c r="K51" s="11" t="n">
        <f aca="false">SUMIFS(Activities!$F$2:$F$190,Activities!$B$2:$B$190,$A51,Activities!$C$2:$C$190,"Physical")</f>
        <v>0</v>
      </c>
      <c r="L51" s="11" t="n">
        <f aca="false">SUMIFS(Activities!$F$2:$F$190,Activities!$B$2:$B$190,$A51,Activities!$C$2:$C$190,"Studies")</f>
        <v>0</v>
      </c>
      <c r="M51" s="11" t="n">
        <f aca="false">SUMIFS(Activities!$F$2:$F$190,Activities!$B$2:$B$190,$A51,Activities!$C$2:$C$190,"Professional")</f>
        <v>0</v>
      </c>
      <c r="N51" s="11" t="n">
        <f aca="false">SUMIFS(Activities!$F$2:$F$190,Activities!$B$2:$B$190,$A51,Activities!$C$2:$C$190,"Personal")</f>
        <v>0</v>
      </c>
      <c r="O51" s="11" t="n">
        <f aca="false">SUMIFS(Activities!$F$2:$F$190,Activities!$B$2:$B$190,$A51,Activities!$C$2:$C$190,"Relationships")</f>
        <v>0</v>
      </c>
      <c r="P51" s="11" t="n">
        <f aca="false">SUMIFS(Activities!$F$2:$F$190,Activities!$B$2:$B$190,$A51,Activities!$C$2:$C$190,"Leisure and creativity")</f>
        <v>0</v>
      </c>
      <c r="Q51" s="10" t="n">
        <v>5.9</v>
      </c>
      <c r="R51" s="11"/>
      <c r="S51" s="11" t="n">
        <v>2</v>
      </c>
      <c r="T51" s="11" t="n">
        <v>3</v>
      </c>
      <c r="U51" s="11" t="n">
        <v>3</v>
      </c>
      <c r="V51" s="11" t="n">
        <v>3</v>
      </c>
      <c r="W51" s="11" t="n">
        <v>170</v>
      </c>
      <c r="X51" s="16" t="n">
        <v>1227</v>
      </c>
      <c r="Y51" s="10" t="n">
        <v>1.8</v>
      </c>
      <c r="Z51" s="11" t="n">
        <f aca="false">COUNTIFS(Reflections!$A$2:$A$70,$A51)</f>
        <v>1</v>
      </c>
      <c r="AA51" s="4" t="s">
        <v>80</v>
      </c>
      <c r="AB51" s="11" t="n">
        <v>0</v>
      </c>
      <c r="AC51" s="17" t="s">
        <v>85</v>
      </c>
    </row>
    <row r="52" customFormat="false" ht="15" hidden="false" customHeight="false" outlineLevel="0" collapsed="false">
      <c r="A52" s="15" t="n">
        <v>46272</v>
      </c>
      <c r="B52" s="4" t="str">
        <f aca="false">INDEX({"Monday","Tuesday","Wednesday","Thursday","Friday","Saturday","Sunday"},WEEKDAY($A52,2))</f>
        <v>Monday</v>
      </c>
      <c r="C52" s="4" t="s">
        <v>81</v>
      </c>
      <c r="D52" s="11" t="n">
        <f aca="false">COUNTIFS(Intentions!$B$2:$B$365,$A52)</f>
        <v>0</v>
      </c>
      <c r="E52" s="11" t="n">
        <f aca="false">COUNTIFS(Intentions!$B$2:$B$365,$A52,Intentions!$H$2:$H$365,"&lt;&gt;Planned")</f>
        <v>0</v>
      </c>
      <c r="F52" s="11" t="n">
        <f aca="false">COUNTIFS(Intentions!$B$2:$B$365,$A52,Intentions!$H$2:$H$365,"Done")+COUNTIFS(Intentions!$B$2:$B$365,$A52,Intentions!$H$2:$H$365,"Partial")</f>
        <v>0</v>
      </c>
      <c r="G52" s="12" t="str">
        <f aca="false">IF(E52=0,"",SUMIFS(Intentions!$K$2:$K$365,Intentions!$B$2:$B$365,$A52)/E52)</f>
        <v/>
      </c>
      <c r="H52" s="11" t="n">
        <f aca="false">SUMIFS(Intentions!$G$2:$G$365,Intentions!$B$2:$B$365,$A52)</f>
        <v>0</v>
      </c>
      <c r="I52" s="11" t="n">
        <f aca="false">SUMIFS(Activities!$F$2:$F$190,Activities!$B$2:$B$190,$A52)</f>
        <v>0</v>
      </c>
      <c r="J52" s="11" t="n">
        <f aca="false">SUMIFS(Activities!$F$2:$F$190,Activities!$B$2:$B$190,$A52,Activities!$C$2:$C$190,"Spiritual")</f>
        <v>0</v>
      </c>
      <c r="K52" s="11" t="n">
        <f aca="false">SUMIFS(Activities!$F$2:$F$190,Activities!$B$2:$B$190,$A52,Activities!$C$2:$C$190,"Physical")</f>
        <v>0</v>
      </c>
      <c r="L52" s="11" t="n">
        <f aca="false">SUMIFS(Activities!$F$2:$F$190,Activities!$B$2:$B$190,$A52,Activities!$C$2:$C$190,"Studies")</f>
        <v>0</v>
      </c>
      <c r="M52" s="11" t="n">
        <f aca="false">SUMIFS(Activities!$F$2:$F$190,Activities!$B$2:$B$190,$A52,Activities!$C$2:$C$190,"Professional")</f>
        <v>0</v>
      </c>
      <c r="N52" s="11" t="n">
        <f aca="false">SUMIFS(Activities!$F$2:$F$190,Activities!$B$2:$B$190,$A52,Activities!$C$2:$C$190,"Personal")</f>
        <v>0</v>
      </c>
      <c r="O52" s="11" t="n">
        <f aca="false">SUMIFS(Activities!$F$2:$F$190,Activities!$B$2:$B$190,$A52,Activities!$C$2:$C$190,"Relationships")</f>
        <v>0</v>
      </c>
      <c r="P52" s="11" t="n">
        <f aca="false">SUMIFS(Activities!$F$2:$F$190,Activities!$B$2:$B$190,$A52,Activities!$C$2:$C$190,"Leisure and creativity")</f>
        <v>0</v>
      </c>
      <c r="Q52" s="10"/>
      <c r="R52" s="11"/>
      <c r="S52" s="11"/>
      <c r="T52" s="11"/>
      <c r="U52" s="11"/>
      <c r="V52" s="11"/>
      <c r="W52" s="11"/>
      <c r="X52" s="16"/>
      <c r="Y52" s="10"/>
      <c r="Z52" s="11" t="n">
        <f aca="false">COUNTIFS(Reflections!$A$2:$A$70,$A52)</f>
        <v>0</v>
      </c>
      <c r="AA52" s="4" t="s">
        <v>82</v>
      </c>
      <c r="AB52" s="11"/>
      <c r="AC52" s="17"/>
    </row>
    <row r="53" customFormat="false" ht="15" hidden="false" customHeight="false" outlineLevel="0" collapsed="false">
      <c r="A53" s="15" t="n">
        <v>46273</v>
      </c>
      <c r="B53" s="4" t="str">
        <f aca="false">INDEX({"Monday","Tuesday","Wednesday","Thursday","Friday","Saturday","Sunday"},WEEKDAY($A53,2))</f>
        <v>Tuesday</v>
      </c>
      <c r="C53" s="4" t="s">
        <v>78</v>
      </c>
      <c r="D53" s="11" t="n">
        <f aca="false">COUNTIFS(Intentions!$B$2:$B$365,$A53)</f>
        <v>6</v>
      </c>
      <c r="E53" s="11" t="n">
        <f aca="false">COUNTIFS(Intentions!$B$2:$B$365,$A53,Intentions!$H$2:$H$365,"&lt;&gt;Planned")</f>
        <v>6</v>
      </c>
      <c r="F53" s="11" t="n">
        <f aca="false">COUNTIFS(Intentions!$B$2:$B$365,$A53,Intentions!$H$2:$H$365,"Done")+COUNTIFS(Intentions!$B$2:$B$365,$A53,Intentions!$H$2:$H$365,"Partial")</f>
        <v>1</v>
      </c>
      <c r="G53" s="12" t="n">
        <f aca="false">IF(E53=0,"",SUMIFS(Intentions!$K$2:$K$365,Intentions!$B$2:$B$365,$A53)/E53)</f>
        <v>0.0833333333333333</v>
      </c>
      <c r="H53" s="11" t="n">
        <f aca="false">SUMIFS(Intentions!$G$2:$G$365,Intentions!$B$2:$B$365,$A53)</f>
        <v>335</v>
      </c>
      <c r="I53" s="11" t="n">
        <f aca="false">SUMIFS(Activities!$F$2:$F$190,Activities!$B$2:$B$190,$A53)</f>
        <v>15</v>
      </c>
      <c r="J53" s="11" t="n">
        <f aca="false">SUMIFS(Activities!$F$2:$F$190,Activities!$B$2:$B$190,$A53,Activities!$C$2:$C$190,"Spiritual")</f>
        <v>15</v>
      </c>
      <c r="K53" s="11" t="n">
        <f aca="false">SUMIFS(Activities!$F$2:$F$190,Activities!$B$2:$B$190,$A53,Activities!$C$2:$C$190,"Physical")</f>
        <v>0</v>
      </c>
      <c r="L53" s="11" t="n">
        <f aca="false">SUMIFS(Activities!$F$2:$F$190,Activities!$B$2:$B$190,$A53,Activities!$C$2:$C$190,"Studies")</f>
        <v>0</v>
      </c>
      <c r="M53" s="11" t="n">
        <f aca="false">SUMIFS(Activities!$F$2:$F$190,Activities!$B$2:$B$190,$A53,Activities!$C$2:$C$190,"Professional")</f>
        <v>0</v>
      </c>
      <c r="N53" s="11" t="n">
        <f aca="false">SUMIFS(Activities!$F$2:$F$190,Activities!$B$2:$B$190,$A53,Activities!$C$2:$C$190,"Personal")</f>
        <v>0</v>
      </c>
      <c r="O53" s="11" t="n">
        <f aca="false">SUMIFS(Activities!$F$2:$F$190,Activities!$B$2:$B$190,$A53,Activities!$C$2:$C$190,"Relationships")</f>
        <v>0</v>
      </c>
      <c r="P53" s="11" t="n">
        <f aca="false">SUMIFS(Activities!$F$2:$F$190,Activities!$B$2:$B$190,$A53,Activities!$C$2:$C$190,"Leisure and creativity")</f>
        <v>0</v>
      </c>
      <c r="Q53" s="10" t="n">
        <v>7.7</v>
      </c>
      <c r="R53" s="11"/>
      <c r="S53" s="11" t="n">
        <v>4</v>
      </c>
      <c r="T53" s="11" t="n">
        <v>5</v>
      </c>
      <c r="U53" s="11" t="n">
        <v>3</v>
      </c>
      <c r="V53" s="11" t="n">
        <v>3</v>
      </c>
      <c r="W53" s="11" t="n">
        <v>187</v>
      </c>
      <c r="X53" s="16" t="n">
        <v>3529</v>
      </c>
      <c r="Y53" s="10" t="n">
        <v>2.6</v>
      </c>
      <c r="Z53" s="11" t="n">
        <f aca="false">COUNTIFS(Reflections!$A$2:$A$70,$A53)</f>
        <v>2</v>
      </c>
      <c r="AA53" s="4" t="s">
        <v>80</v>
      </c>
      <c r="AB53" s="11" t="n">
        <v>0</v>
      </c>
      <c r="AC53" s="17"/>
    </row>
    <row r="54" customFormat="false" ht="15" hidden="false" customHeight="false" outlineLevel="0" collapsed="false">
      <c r="A54" s="15" t="n">
        <v>46274</v>
      </c>
      <c r="B54" s="4" t="str">
        <f aca="false">INDEX({"Monday","Tuesday","Wednesday","Thursday","Friday","Saturday","Sunday"},WEEKDAY($A54,2))</f>
        <v>Wednesday</v>
      </c>
      <c r="C54" s="4" t="s">
        <v>78</v>
      </c>
      <c r="D54" s="11" t="n">
        <f aca="false">COUNTIFS(Intentions!$B$2:$B$365,$A54)</f>
        <v>2</v>
      </c>
      <c r="E54" s="11" t="n">
        <f aca="false">COUNTIFS(Intentions!$B$2:$B$365,$A54,Intentions!$H$2:$H$365,"&lt;&gt;Planned")</f>
        <v>2</v>
      </c>
      <c r="F54" s="11" t="n">
        <f aca="false">COUNTIFS(Intentions!$B$2:$B$365,$A54,Intentions!$H$2:$H$365,"Done")+COUNTIFS(Intentions!$B$2:$B$365,$A54,Intentions!$H$2:$H$365,"Partial")</f>
        <v>2</v>
      </c>
      <c r="G54" s="12" t="n">
        <f aca="false">IF(E54=0,"",SUMIFS(Intentions!$K$2:$K$365,Intentions!$B$2:$B$365,$A54)/E54)</f>
        <v>1</v>
      </c>
      <c r="H54" s="11" t="n">
        <f aca="false">SUMIFS(Intentions!$G$2:$G$365,Intentions!$B$2:$B$365,$A54)</f>
        <v>100</v>
      </c>
      <c r="I54" s="11" t="n">
        <f aca="false">SUMIFS(Activities!$F$2:$F$190,Activities!$B$2:$B$190,$A54)</f>
        <v>151</v>
      </c>
      <c r="J54" s="11" t="n">
        <f aca="false">SUMIFS(Activities!$F$2:$F$190,Activities!$B$2:$B$190,$A54,Activities!$C$2:$C$190,"Spiritual")</f>
        <v>0</v>
      </c>
      <c r="K54" s="11" t="n">
        <f aca="false">SUMIFS(Activities!$F$2:$F$190,Activities!$B$2:$B$190,$A54,Activities!$C$2:$C$190,"Physical")</f>
        <v>26</v>
      </c>
      <c r="L54" s="11" t="n">
        <f aca="false">SUMIFS(Activities!$F$2:$F$190,Activities!$B$2:$B$190,$A54,Activities!$C$2:$C$190,"Studies")</f>
        <v>125</v>
      </c>
      <c r="M54" s="11" t="n">
        <f aca="false">SUMIFS(Activities!$F$2:$F$190,Activities!$B$2:$B$190,$A54,Activities!$C$2:$C$190,"Professional")</f>
        <v>0</v>
      </c>
      <c r="N54" s="11" t="n">
        <f aca="false">SUMIFS(Activities!$F$2:$F$190,Activities!$B$2:$B$190,$A54,Activities!$C$2:$C$190,"Personal")</f>
        <v>0</v>
      </c>
      <c r="O54" s="11" t="n">
        <f aca="false">SUMIFS(Activities!$F$2:$F$190,Activities!$B$2:$B$190,$A54,Activities!$C$2:$C$190,"Relationships")</f>
        <v>0</v>
      </c>
      <c r="P54" s="11" t="n">
        <f aca="false">SUMIFS(Activities!$F$2:$F$190,Activities!$B$2:$B$190,$A54,Activities!$C$2:$C$190,"Leisure and creativity")</f>
        <v>0</v>
      </c>
      <c r="Q54" s="10" t="n">
        <v>5.5</v>
      </c>
      <c r="R54" s="11"/>
      <c r="S54" s="11" t="n">
        <v>3</v>
      </c>
      <c r="T54" s="11" t="n">
        <v>3</v>
      </c>
      <c r="U54" s="11" t="n">
        <v>4</v>
      </c>
      <c r="V54" s="11" t="n">
        <v>3</v>
      </c>
      <c r="W54" s="11" t="n">
        <v>217</v>
      </c>
      <c r="X54" s="16" t="n">
        <v>7609</v>
      </c>
      <c r="Y54" s="10" t="n">
        <v>2.3</v>
      </c>
      <c r="Z54" s="11" t="n">
        <f aca="false">COUNTIFS(Reflections!$A$2:$A$70,$A54)</f>
        <v>0</v>
      </c>
      <c r="AA54" s="4" t="s">
        <v>80</v>
      </c>
      <c r="AB54" s="11" t="n">
        <v>0</v>
      </c>
      <c r="AC54" s="17"/>
    </row>
    <row r="55" customFormat="false" ht="15" hidden="false" customHeight="false" outlineLevel="0" collapsed="false">
      <c r="A55" s="15" t="n">
        <v>46275</v>
      </c>
      <c r="B55" s="4" t="str">
        <f aca="false">INDEX({"Monday","Tuesday","Wednesday","Thursday","Friday","Saturday","Sunday"},WEEKDAY($A55,2))</f>
        <v>Thursday</v>
      </c>
      <c r="C55" s="4" t="s">
        <v>78</v>
      </c>
      <c r="D55" s="11" t="n">
        <f aca="false">COUNTIFS(Intentions!$B$2:$B$365,$A55)</f>
        <v>7</v>
      </c>
      <c r="E55" s="11" t="n">
        <f aca="false">COUNTIFS(Intentions!$B$2:$B$365,$A55,Intentions!$H$2:$H$365,"&lt;&gt;Planned")</f>
        <v>7</v>
      </c>
      <c r="F55" s="11" t="n">
        <f aca="false">COUNTIFS(Intentions!$B$2:$B$365,$A55,Intentions!$H$2:$H$365,"Done")+COUNTIFS(Intentions!$B$2:$B$365,$A55,Intentions!$H$2:$H$365,"Partial")</f>
        <v>3</v>
      </c>
      <c r="G55" s="12" t="n">
        <f aca="false">IF(E55=0,"",SUMIFS(Intentions!$K$2:$K$365,Intentions!$B$2:$B$365,$A55)/E55)</f>
        <v>0.285714285714286</v>
      </c>
      <c r="H55" s="11" t="n">
        <f aca="false">SUMIFS(Intentions!$G$2:$G$365,Intentions!$B$2:$B$365,$A55)</f>
        <v>345</v>
      </c>
      <c r="I55" s="11" t="n">
        <f aca="false">SUMIFS(Activities!$F$2:$F$190,Activities!$B$2:$B$190,$A55)</f>
        <v>202</v>
      </c>
      <c r="J55" s="11" t="n">
        <f aca="false">SUMIFS(Activities!$F$2:$F$190,Activities!$B$2:$B$190,$A55,Activities!$C$2:$C$190,"Spiritual")</f>
        <v>0</v>
      </c>
      <c r="K55" s="11" t="n">
        <f aca="false">SUMIFS(Activities!$F$2:$F$190,Activities!$B$2:$B$190,$A55,Activities!$C$2:$C$190,"Physical")</f>
        <v>43</v>
      </c>
      <c r="L55" s="11" t="n">
        <f aca="false">SUMIFS(Activities!$F$2:$F$190,Activities!$B$2:$B$190,$A55,Activities!$C$2:$C$190,"Studies")</f>
        <v>87</v>
      </c>
      <c r="M55" s="11" t="n">
        <f aca="false">SUMIFS(Activities!$F$2:$F$190,Activities!$B$2:$B$190,$A55,Activities!$C$2:$C$190,"Professional")</f>
        <v>0</v>
      </c>
      <c r="N55" s="11" t="n">
        <f aca="false">SUMIFS(Activities!$F$2:$F$190,Activities!$B$2:$B$190,$A55,Activities!$C$2:$C$190,"Personal")</f>
        <v>0</v>
      </c>
      <c r="O55" s="11" t="n">
        <f aca="false">SUMIFS(Activities!$F$2:$F$190,Activities!$B$2:$B$190,$A55,Activities!$C$2:$C$190,"Relationships")</f>
        <v>12</v>
      </c>
      <c r="P55" s="11" t="n">
        <f aca="false">SUMIFS(Activities!$F$2:$F$190,Activities!$B$2:$B$190,$A55,Activities!$C$2:$C$190,"Leisure and creativity")</f>
        <v>60</v>
      </c>
      <c r="Q55" s="10" t="n">
        <v>6.9</v>
      </c>
      <c r="R55" s="11"/>
      <c r="S55" s="11" t="n">
        <v>3</v>
      </c>
      <c r="T55" s="11" t="n">
        <v>3</v>
      </c>
      <c r="U55" s="11" t="n">
        <v>3</v>
      </c>
      <c r="V55" s="11" t="n">
        <v>2</v>
      </c>
      <c r="W55" s="11" t="n">
        <v>262</v>
      </c>
      <c r="X55" s="16" t="n">
        <v>7167</v>
      </c>
      <c r="Y55" s="10" t="n">
        <v>1.6</v>
      </c>
      <c r="Z55" s="11" t="n">
        <f aca="false">COUNTIFS(Reflections!$A$2:$A$70,$A55)</f>
        <v>1</v>
      </c>
      <c r="AA55" s="4" t="s">
        <v>80</v>
      </c>
      <c r="AB55" s="11" t="n">
        <v>0</v>
      </c>
      <c r="AC55" s="17" t="s">
        <v>85</v>
      </c>
    </row>
    <row r="56" customFormat="false" ht="15" hidden="false" customHeight="false" outlineLevel="0" collapsed="false">
      <c r="A56" s="15" t="n">
        <v>46276</v>
      </c>
      <c r="B56" s="4" t="str">
        <f aca="false">INDEX({"Monday","Tuesday","Wednesday","Thursday","Friday","Saturday","Sunday"},WEEKDAY($A56,2))</f>
        <v>Friday</v>
      </c>
      <c r="C56" s="4" t="s">
        <v>78</v>
      </c>
      <c r="D56" s="11" t="n">
        <f aca="false">COUNTIFS(Intentions!$B$2:$B$365,$A56)</f>
        <v>6</v>
      </c>
      <c r="E56" s="11" t="n">
        <f aca="false">COUNTIFS(Intentions!$B$2:$B$365,$A56,Intentions!$H$2:$H$365,"&lt;&gt;Planned")</f>
        <v>6</v>
      </c>
      <c r="F56" s="11" t="n">
        <f aca="false">COUNTIFS(Intentions!$B$2:$B$365,$A56,Intentions!$H$2:$H$365,"Done")+COUNTIFS(Intentions!$B$2:$B$365,$A56,Intentions!$H$2:$H$365,"Partial")</f>
        <v>2</v>
      </c>
      <c r="G56" s="12" t="n">
        <f aca="false">IF(E56=0,"",SUMIFS(Intentions!$K$2:$K$365,Intentions!$B$2:$B$365,$A56)/E56)</f>
        <v>0.25</v>
      </c>
      <c r="H56" s="11" t="n">
        <f aca="false">SUMIFS(Intentions!$G$2:$G$365,Intentions!$B$2:$B$365,$A56)</f>
        <v>265</v>
      </c>
      <c r="I56" s="11" t="n">
        <f aca="false">SUMIFS(Activities!$F$2:$F$190,Activities!$B$2:$B$190,$A56)</f>
        <v>55</v>
      </c>
      <c r="J56" s="11" t="n">
        <f aca="false">SUMIFS(Activities!$F$2:$F$190,Activities!$B$2:$B$190,$A56,Activities!$C$2:$C$190,"Spiritual")</f>
        <v>15</v>
      </c>
      <c r="K56" s="11" t="n">
        <f aca="false">SUMIFS(Activities!$F$2:$F$190,Activities!$B$2:$B$190,$A56,Activities!$C$2:$C$190,"Physical")</f>
        <v>0</v>
      </c>
      <c r="L56" s="11" t="n">
        <f aca="false">SUMIFS(Activities!$F$2:$F$190,Activities!$B$2:$B$190,$A56,Activities!$C$2:$C$190,"Studies")</f>
        <v>40</v>
      </c>
      <c r="M56" s="11" t="n">
        <f aca="false">SUMIFS(Activities!$F$2:$F$190,Activities!$B$2:$B$190,$A56,Activities!$C$2:$C$190,"Professional")</f>
        <v>0</v>
      </c>
      <c r="N56" s="11" t="n">
        <f aca="false">SUMIFS(Activities!$F$2:$F$190,Activities!$B$2:$B$190,$A56,Activities!$C$2:$C$190,"Personal")</f>
        <v>0</v>
      </c>
      <c r="O56" s="11" t="n">
        <f aca="false">SUMIFS(Activities!$F$2:$F$190,Activities!$B$2:$B$190,$A56,Activities!$C$2:$C$190,"Relationships")</f>
        <v>0</v>
      </c>
      <c r="P56" s="11" t="n">
        <f aca="false">SUMIFS(Activities!$F$2:$F$190,Activities!$B$2:$B$190,$A56,Activities!$C$2:$C$190,"Leisure and creativity")</f>
        <v>0</v>
      </c>
      <c r="Q56" s="10" t="n">
        <v>6.4</v>
      </c>
      <c r="R56" s="11"/>
      <c r="S56" s="11" t="n">
        <v>3</v>
      </c>
      <c r="T56" s="11" t="n">
        <v>3</v>
      </c>
      <c r="U56" s="11" t="n">
        <v>3</v>
      </c>
      <c r="V56" s="11" t="n">
        <v>4</v>
      </c>
      <c r="W56" s="11" t="n">
        <v>125</v>
      </c>
      <c r="X56" s="16" t="n">
        <v>7261</v>
      </c>
      <c r="Y56" s="10" t="n">
        <v>1.7</v>
      </c>
      <c r="Z56" s="11" t="n">
        <f aca="false">COUNTIFS(Reflections!$A$2:$A$70,$A56)</f>
        <v>1</v>
      </c>
      <c r="AA56" s="4" t="s">
        <v>80</v>
      </c>
      <c r="AB56" s="11" t="n">
        <v>0</v>
      </c>
      <c r="AC56" s="17"/>
    </row>
    <row r="57" customFormat="false" ht="15" hidden="false" customHeight="false" outlineLevel="0" collapsed="false">
      <c r="A57" s="15" t="n">
        <v>46277</v>
      </c>
      <c r="B57" s="4" t="str">
        <f aca="false">INDEX({"Monday","Tuesday","Wednesday","Thursday","Friday","Saturday","Sunday"},WEEKDAY($A57,2))</f>
        <v>Saturday</v>
      </c>
      <c r="C57" s="4" t="s">
        <v>81</v>
      </c>
      <c r="D57" s="11" t="n">
        <f aca="false">COUNTIFS(Intentions!$B$2:$B$365,$A57)</f>
        <v>0</v>
      </c>
      <c r="E57" s="11" t="n">
        <f aca="false">COUNTIFS(Intentions!$B$2:$B$365,$A57,Intentions!$H$2:$H$365,"&lt;&gt;Planned")</f>
        <v>0</v>
      </c>
      <c r="F57" s="11" t="n">
        <f aca="false">COUNTIFS(Intentions!$B$2:$B$365,$A57,Intentions!$H$2:$H$365,"Done")+COUNTIFS(Intentions!$B$2:$B$365,$A57,Intentions!$H$2:$H$365,"Partial")</f>
        <v>0</v>
      </c>
      <c r="G57" s="12" t="str">
        <f aca="false">IF(E57=0,"",SUMIFS(Intentions!$K$2:$K$365,Intentions!$B$2:$B$365,$A57)/E57)</f>
        <v/>
      </c>
      <c r="H57" s="11" t="n">
        <f aca="false">SUMIFS(Intentions!$G$2:$G$365,Intentions!$B$2:$B$365,$A57)</f>
        <v>0</v>
      </c>
      <c r="I57" s="11" t="n">
        <f aca="false">SUMIFS(Activities!$F$2:$F$190,Activities!$B$2:$B$190,$A57)</f>
        <v>0</v>
      </c>
      <c r="J57" s="11" t="n">
        <f aca="false">SUMIFS(Activities!$F$2:$F$190,Activities!$B$2:$B$190,$A57,Activities!$C$2:$C$190,"Spiritual")</f>
        <v>0</v>
      </c>
      <c r="K57" s="11" t="n">
        <f aca="false">SUMIFS(Activities!$F$2:$F$190,Activities!$B$2:$B$190,$A57,Activities!$C$2:$C$190,"Physical")</f>
        <v>0</v>
      </c>
      <c r="L57" s="11" t="n">
        <f aca="false">SUMIFS(Activities!$F$2:$F$190,Activities!$B$2:$B$190,$A57,Activities!$C$2:$C$190,"Studies")</f>
        <v>0</v>
      </c>
      <c r="M57" s="11" t="n">
        <f aca="false">SUMIFS(Activities!$F$2:$F$190,Activities!$B$2:$B$190,$A57,Activities!$C$2:$C$190,"Professional")</f>
        <v>0</v>
      </c>
      <c r="N57" s="11" t="n">
        <f aca="false">SUMIFS(Activities!$F$2:$F$190,Activities!$B$2:$B$190,$A57,Activities!$C$2:$C$190,"Personal")</f>
        <v>0</v>
      </c>
      <c r="O57" s="11" t="n">
        <f aca="false">SUMIFS(Activities!$F$2:$F$190,Activities!$B$2:$B$190,$A57,Activities!$C$2:$C$190,"Relationships")</f>
        <v>0</v>
      </c>
      <c r="P57" s="11" t="n">
        <f aca="false">SUMIFS(Activities!$F$2:$F$190,Activities!$B$2:$B$190,$A57,Activities!$C$2:$C$190,"Leisure and creativity")</f>
        <v>0</v>
      </c>
      <c r="Q57" s="10"/>
      <c r="R57" s="11"/>
      <c r="S57" s="11"/>
      <c r="T57" s="11"/>
      <c r="U57" s="11"/>
      <c r="V57" s="11"/>
      <c r="W57" s="11"/>
      <c r="X57" s="16"/>
      <c r="Y57" s="10"/>
      <c r="Z57" s="11" t="n">
        <f aca="false">COUNTIFS(Reflections!$A$2:$A$70,$A57)</f>
        <v>0</v>
      </c>
      <c r="AA57" s="4" t="s">
        <v>82</v>
      </c>
      <c r="AB57" s="11"/>
      <c r="AC57" s="17"/>
    </row>
    <row r="58" customFormat="false" ht="15" hidden="false" customHeight="false" outlineLevel="0" collapsed="false">
      <c r="A58" s="15" t="n">
        <v>46278</v>
      </c>
      <c r="B58" s="4" t="str">
        <f aca="false">INDEX({"Monday","Tuesday","Wednesday","Thursday","Friday","Saturday","Sunday"},WEEKDAY($A58,2))</f>
        <v>Sunday</v>
      </c>
      <c r="C58" s="4" t="s">
        <v>78</v>
      </c>
      <c r="D58" s="11" t="n">
        <f aca="false">COUNTIFS(Intentions!$B$2:$B$365,$A58)</f>
        <v>2</v>
      </c>
      <c r="E58" s="11" t="n">
        <f aca="false">COUNTIFS(Intentions!$B$2:$B$365,$A58,Intentions!$H$2:$H$365,"&lt;&gt;Planned")</f>
        <v>2</v>
      </c>
      <c r="F58" s="11" t="n">
        <f aca="false">COUNTIFS(Intentions!$B$2:$B$365,$A58,Intentions!$H$2:$H$365,"Done")+COUNTIFS(Intentions!$B$2:$B$365,$A58,Intentions!$H$2:$H$365,"Partial")</f>
        <v>1</v>
      </c>
      <c r="G58" s="12" t="n">
        <f aca="false">IF(E58=0,"",SUMIFS(Intentions!$K$2:$K$365,Intentions!$B$2:$B$365,$A58)/E58)</f>
        <v>0.5</v>
      </c>
      <c r="H58" s="11" t="n">
        <f aca="false">SUMIFS(Intentions!$G$2:$G$365,Intentions!$B$2:$B$365,$A58)</f>
        <v>80</v>
      </c>
      <c r="I58" s="11" t="n">
        <f aca="false">SUMIFS(Activities!$F$2:$F$190,Activities!$B$2:$B$190,$A58)</f>
        <v>144</v>
      </c>
      <c r="J58" s="11" t="n">
        <f aca="false">SUMIFS(Activities!$F$2:$F$190,Activities!$B$2:$B$190,$A58,Activities!$C$2:$C$190,"Spiritual")</f>
        <v>0</v>
      </c>
      <c r="K58" s="11" t="n">
        <f aca="false">SUMIFS(Activities!$F$2:$F$190,Activities!$B$2:$B$190,$A58,Activities!$C$2:$C$190,"Physical")</f>
        <v>0</v>
      </c>
      <c r="L58" s="11" t="n">
        <f aca="false">SUMIFS(Activities!$F$2:$F$190,Activities!$B$2:$B$190,$A58,Activities!$C$2:$C$190,"Studies")</f>
        <v>0</v>
      </c>
      <c r="M58" s="11" t="n">
        <f aca="false">SUMIFS(Activities!$F$2:$F$190,Activities!$B$2:$B$190,$A58,Activities!$C$2:$C$190,"Professional")</f>
        <v>0</v>
      </c>
      <c r="N58" s="11" t="n">
        <f aca="false">SUMIFS(Activities!$F$2:$F$190,Activities!$B$2:$B$190,$A58,Activities!$C$2:$C$190,"Personal")</f>
        <v>0</v>
      </c>
      <c r="O58" s="11" t="n">
        <f aca="false">SUMIFS(Activities!$F$2:$F$190,Activities!$B$2:$B$190,$A58,Activities!$C$2:$C$190,"Relationships")</f>
        <v>24</v>
      </c>
      <c r="P58" s="11" t="n">
        <f aca="false">SUMIFS(Activities!$F$2:$F$190,Activities!$B$2:$B$190,$A58,Activities!$C$2:$C$190,"Leisure and creativity")</f>
        <v>120</v>
      </c>
      <c r="Q58" s="10" t="n">
        <v>7.1</v>
      </c>
      <c r="R58" s="11"/>
      <c r="S58" s="11" t="n">
        <v>3</v>
      </c>
      <c r="T58" s="11" t="n">
        <v>4</v>
      </c>
      <c r="U58" s="11" t="n">
        <v>4</v>
      </c>
      <c r="V58" s="11" t="n">
        <v>4</v>
      </c>
      <c r="W58" s="11" t="n">
        <v>241</v>
      </c>
      <c r="X58" s="16" t="n">
        <v>7092</v>
      </c>
      <c r="Y58" s="10" t="n">
        <v>1.9</v>
      </c>
      <c r="Z58" s="11" t="n">
        <f aca="false">COUNTIFS(Reflections!$A$2:$A$70,$A58)</f>
        <v>1</v>
      </c>
      <c r="AA58" s="4" t="s">
        <v>80</v>
      </c>
      <c r="AB58" s="11" t="n">
        <v>0</v>
      </c>
      <c r="AC58" s="17"/>
    </row>
    <row r="59" customFormat="false" ht="15" hidden="false" customHeight="false" outlineLevel="0" collapsed="false">
      <c r="A59" s="15" t="n">
        <v>46279</v>
      </c>
      <c r="B59" s="4" t="str">
        <f aca="false">INDEX({"Monday","Tuesday","Wednesday","Thursday","Friday","Saturday","Sunday"},WEEKDAY($A59,2))</f>
        <v>Monday</v>
      </c>
      <c r="C59" s="4" t="s">
        <v>78</v>
      </c>
      <c r="D59" s="11" t="n">
        <f aca="false">COUNTIFS(Intentions!$B$2:$B$365,$A59)</f>
        <v>4</v>
      </c>
      <c r="E59" s="11" t="n">
        <f aca="false">COUNTIFS(Intentions!$B$2:$B$365,$A59,Intentions!$H$2:$H$365,"&lt;&gt;Planned")</f>
        <v>4</v>
      </c>
      <c r="F59" s="11" t="n">
        <f aca="false">COUNTIFS(Intentions!$B$2:$B$365,$A59,Intentions!$H$2:$H$365,"Done")+COUNTIFS(Intentions!$B$2:$B$365,$A59,Intentions!$H$2:$H$365,"Partial")</f>
        <v>2</v>
      </c>
      <c r="G59" s="12" t="n">
        <f aca="false">IF(E59=0,"",SUMIFS(Intentions!$K$2:$K$365,Intentions!$B$2:$B$365,$A59)/E59)</f>
        <v>0.375</v>
      </c>
      <c r="H59" s="11" t="n">
        <f aca="false">SUMIFS(Intentions!$G$2:$G$365,Intentions!$B$2:$B$365,$A59)</f>
        <v>205</v>
      </c>
      <c r="I59" s="11" t="n">
        <f aca="false">SUMIFS(Activities!$F$2:$F$190,Activities!$B$2:$B$190,$A59)</f>
        <v>114</v>
      </c>
      <c r="J59" s="11" t="n">
        <f aca="false">SUMIFS(Activities!$F$2:$F$190,Activities!$B$2:$B$190,$A59,Activities!$C$2:$C$190,"Spiritual")</f>
        <v>0</v>
      </c>
      <c r="K59" s="11" t="n">
        <f aca="false">SUMIFS(Activities!$F$2:$F$190,Activities!$B$2:$B$190,$A59,Activities!$C$2:$C$190,"Physical")</f>
        <v>38</v>
      </c>
      <c r="L59" s="11" t="n">
        <f aca="false">SUMIFS(Activities!$F$2:$F$190,Activities!$B$2:$B$190,$A59,Activities!$C$2:$C$190,"Studies")</f>
        <v>0</v>
      </c>
      <c r="M59" s="11" t="n">
        <f aca="false">SUMIFS(Activities!$F$2:$F$190,Activities!$B$2:$B$190,$A59,Activities!$C$2:$C$190,"Professional")</f>
        <v>0</v>
      </c>
      <c r="N59" s="11" t="n">
        <f aca="false">SUMIFS(Activities!$F$2:$F$190,Activities!$B$2:$B$190,$A59,Activities!$C$2:$C$190,"Personal")</f>
        <v>0</v>
      </c>
      <c r="O59" s="11" t="n">
        <f aca="false">SUMIFS(Activities!$F$2:$F$190,Activities!$B$2:$B$190,$A59,Activities!$C$2:$C$190,"Relationships")</f>
        <v>0</v>
      </c>
      <c r="P59" s="11" t="n">
        <f aca="false">SUMIFS(Activities!$F$2:$F$190,Activities!$B$2:$B$190,$A59,Activities!$C$2:$C$190,"Leisure and creativity")</f>
        <v>76</v>
      </c>
      <c r="Q59" s="10" t="n">
        <v>7.4</v>
      </c>
      <c r="R59" s="11"/>
      <c r="S59" s="11" t="n">
        <v>4</v>
      </c>
      <c r="T59" s="11" t="n">
        <v>3</v>
      </c>
      <c r="U59" s="11" t="n">
        <v>4</v>
      </c>
      <c r="V59" s="11" t="n">
        <v>2</v>
      </c>
      <c r="W59" s="11" t="n">
        <v>203</v>
      </c>
      <c r="X59" s="16" t="n">
        <v>8999</v>
      </c>
      <c r="Y59" s="10" t="n">
        <v>1.5</v>
      </c>
      <c r="Z59" s="11" t="n">
        <f aca="false">COUNTIFS(Reflections!$A$2:$A$70,$A59)</f>
        <v>0</v>
      </c>
      <c r="AA59" s="4" t="s">
        <v>80</v>
      </c>
      <c r="AB59" s="11" t="n">
        <v>0</v>
      </c>
      <c r="AC59" s="17"/>
    </row>
    <row r="60" customFormat="false" ht="15" hidden="false" customHeight="false" outlineLevel="0" collapsed="false">
      <c r="A60" s="15" t="n">
        <v>46280</v>
      </c>
      <c r="B60" s="4" t="str">
        <f aca="false">INDEX({"Monday","Tuesday","Wednesday","Thursday","Friday","Saturday","Sunday"},WEEKDAY($A60,2))</f>
        <v>Tuesday</v>
      </c>
      <c r="C60" s="4" t="s">
        <v>78</v>
      </c>
      <c r="D60" s="11" t="n">
        <f aca="false">COUNTIFS(Intentions!$B$2:$B$365,$A60)</f>
        <v>4</v>
      </c>
      <c r="E60" s="11" t="n">
        <f aca="false">COUNTIFS(Intentions!$B$2:$B$365,$A60,Intentions!$H$2:$H$365,"&lt;&gt;Planned")</f>
        <v>4</v>
      </c>
      <c r="F60" s="11" t="n">
        <f aca="false">COUNTIFS(Intentions!$B$2:$B$365,$A60,Intentions!$H$2:$H$365,"Done")+COUNTIFS(Intentions!$B$2:$B$365,$A60,Intentions!$H$2:$H$365,"Partial")</f>
        <v>1</v>
      </c>
      <c r="G60" s="12" t="n">
        <f aca="false">IF(E60=0,"",SUMIFS(Intentions!$K$2:$K$365,Intentions!$B$2:$B$365,$A60)/E60)</f>
        <v>0.25</v>
      </c>
      <c r="H60" s="11" t="n">
        <f aca="false">SUMIFS(Intentions!$G$2:$G$365,Intentions!$B$2:$B$365,$A60)</f>
        <v>185</v>
      </c>
      <c r="I60" s="11" t="n">
        <f aca="false">SUMIFS(Activities!$F$2:$F$190,Activities!$B$2:$B$190,$A60)</f>
        <v>175</v>
      </c>
      <c r="J60" s="11" t="n">
        <f aca="false">SUMIFS(Activities!$F$2:$F$190,Activities!$B$2:$B$190,$A60,Activities!$C$2:$C$190,"Spiritual")</f>
        <v>0</v>
      </c>
      <c r="K60" s="11" t="n">
        <f aca="false">SUMIFS(Activities!$F$2:$F$190,Activities!$B$2:$B$190,$A60,Activities!$C$2:$C$190,"Physical")</f>
        <v>0</v>
      </c>
      <c r="L60" s="11" t="n">
        <f aca="false">SUMIFS(Activities!$F$2:$F$190,Activities!$B$2:$B$190,$A60,Activities!$C$2:$C$190,"Studies")</f>
        <v>55</v>
      </c>
      <c r="M60" s="11" t="n">
        <f aca="false">SUMIFS(Activities!$F$2:$F$190,Activities!$B$2:$B$190,$A60,Activities!$C$2:$C$190,"Professional")</f>
        <v>0</v>
      </c>
      <c r="N60" s="11" t="n">
        <f aca="false">SUMIFS(Activities!$F$2:$F$190,Activities!$B$2:$B$190,$A60,Activities!$C$2:$C$190,"Personal")</f>
        <v>0</v>
      </c>
      <c r="O60" s="11" t="n">
        <f aca="false">SUMIFS(Activities!$F$2:$F$190,Activities!$B$2:$B$190,$A60,Activities!$C$2:$C$190,"Relationships")</f>
        <v>0</v>
      </c>
      <c r="P60" s="11" t="n">
        <f aca="false">SUMIFS(Activities!$F$2:$F$190,Activities!$B$2:$B$190,$A60,Activities!$C$2:$C$190,"Leisure and creativity")</f>
        <v>120</v>
      </c>
      <c r="Q60" s="10" t="n">
        <v>7.1</v>
      </c>
      <c r="R60" s="11"/>
      <c r="S60" s="11" t="n">
        <v>3</v>
      </c>
      <c r="T60" s="11" t="n">
        <v>3</v>
      </c>
      <c r="U60" s="11" t="n">
        <v>2</v>
      </c>
      <c r="V60" s="11" t="n">
        <v>3</v>
      </c>
      <c r="W60" s="11" t="n">
        <v>257</v>
      </c>
      <c r="X60" s="16" t="n">
        <v>2313</v>
      </c>
      <c r="Y60" s="10" t="n">
        <v>2.1</v>
      </c>
      <c r="Z60" s="11" t="n">
        <f aca="false">COUNTIFS(Reflections!$A$2:$A$70,$A60)</f>
        <v>0</v>
      </c>
      <c r="AA60" s="4" t="s">
        <v>80</v>
      </c>
      <c r="AB60" s="11" t="n">
        <v>0</v>
      </c>
      <c r="AC60" s="17"/>
    </row>
    <row r="61" customFormat="false" ht="15" hidden="false" customHeight="false" outlineLevel="0" collapsed="false">
      <c r="A61" s="15" t="n">
        <v>46281</v>
      </c>
      <c r="B61" s="4" t="str">
        <f aca="false">INDEX({"Monday","Tuesday","Wednesday","Thursday","Friday","Saturday","Sunday"},WEEKDAY($A61,2))</f>
        <v>Wednesday</v>
      </c>
      <c r="C61" s="4" t="s">
        <v>78</v>
      </c>
      <c r="D61" s="11" t="n">
        <f aca="false">COUNTIFS(Intentions!$B$2:$B$365,$A61)</f>
        <v>5</v>
      </c>
      <c r="E61" s="11" t="n">
        <f aca="false">COUNTIFS(Intentions!$B$2:$B$365,$A61,Intentions!$H$2:$H$365,"&lt;&gt;Planned")</f>
        <v>5</v>
      </c>
      <c r="F61" s="11" t="n">
        <f aca="false">COUNTIFS(Intentions!$B$2:$B$365,$A61,Intentions!$H$2:$H$365,"Done")+COUNTIFS(Intentions!$B$2:$B$365,$A61,Intentions!$H$2:$H$365,"Partial")</f>
        <v>2</v>
      </c>
      <c r="G61" s="12" t="n">
        <f aca="false">IF(E61=0,"",SUMIFS(Intentions!$K$2:$K$365,Intentions!$B$2:$B$365,$A61)/E61)</f>
        <v>0.3</v>
      </c>
      <c r="H61" s="11" t="n">
        <f aca="false">SUMIFS(Intentions!$G$2:$G$365,Intentions!$B$2:$B$365,$A61)</f>
        <v>245</v>
      </c>
      <c r="I61" s="11" t="n">
        <f aca="false">SUMIFS(Activities!$F$2:$F$190,Activities!$B$2:$B$190,$A61)</f>
        <v>52</v>
      </c>
      <c r="J61" s="11" t="n">
        <f aca="false">SUMIFS(Activities!$F$2:$F$190,Activities!$B$2:$B$190,$A61,Activities!$C$2:$C$190,"Spiritual")</f>
        <v>12</v>
      </c>
      <c r="K61" s="11" t="n">
        <f aca="false">SUMIFS(Activities!$F$2:$F$190,Activities!$B$2:$B$190,$A61,Activities!$C$2:$C$190,"Physical")</f>
        <v>0</v>
      </c>
      <c r="L61" s="11" t="n">
        <f aca="false">SUMIFS(Activities!$F$2:$F$190,Activities!$B$2:$B$190,$A61,Activities!$C$2:$C$190,"Studies")</f>
        <v>40</v>
      </c>
      <c r="M61" s="11" t="n">
        <f aca="false">SUMIFS(Activities!$F$2:$F$190,Activities!$B$2:$B$190,$A61,Activities!$C$2:$C$190,"Professional")</f>
        <v>0</v>
      </c>
      <c r="N61" s="11" t="n">
        <f aca="false">SUMIFS(Activities!$F$2:$F$190,Activities!$B$2:$B$190,$A61,Activities!$C$2:$C$190,"Personal")</f>
        <v>0</v>
      </c>
      <c r="O61" s="11" t="n">
        <f aca="false">SUMIFS(Activities!$F$2:$F$190,Activities!$B$2:$B$190,$A61,Activities!$C$2:$C$190,"Relationships")</f>
        <v>0</v>
      </c>
      <c r="P61" s="11" t="n">
        <f aca="false">SUMIFS(Activities!$F$2:$F$190,Activities!$B$2:$B$190,$A61,Activities!$C$2:$C$190,"Leisure and creativity")</f>
        <v>0</v>
      </c>
      <c r="Q61" s="10" t="n">
        <v>5.7</v>
      </c>
      <c r="R61" s="11"/>
      <c r="S61" s="11" t="n">
        <v>1</v>
      </c>
      <c r="T61" s="11" t="n">
        <v>1</v>
      </c>
      <c r="U61" s="11" t="n">
        <v>2</v>
      </c>
      <c r="V61" s="11" t="n">
        <v>2</v>
      </c>
      <c r="W61" s="11" t="n">
        <v>263</v>
      </c>
      <c r="X61" s="16" t="n">
        <v>9750</v>
      </c>
      <c r="Y61" s="10" t="n">
        <v>1.4</v>
      </c>
      <c r="Z61" s="11" t="n">
        <f aca="false">COUNTIFS(Reflections!$A$2:$A$70,$A61)</f>
        <v>1</v>
      </c>
      <c r="AA61" s="4" t="s">
        <v>80</v>
      </c>
      <c r="AB61" s="11" t="n">
        <v>0</v>
      </c>
      <c r="AC61" s="17" t="s">
        <v>85</v>
      </c>
    </row>
    <row r="62" customFormat="false" ht="15" hidden="false" customHeight="false" outlineLevel="0" collapsed="false">
      <c r="A62" s="15" t="n">
        <v>46282</v>
      </c>
      <c r="B62" s="4" t="str">
        <f aca="false">INDEX({"Monday","Tuesday","Wednesday","Thursday","Friday","Saturday","Sunday"},WEEKDAY($A62,2))</f>
        <v>Thursday</v>
      </c>
      <c r="C62" s="4" t="s">
        <v>78</v>
      </c>
      <c r="D62" s="11" t="n">
        <f aca="false">COUNTIFS(Intentions!$B$2:$B$365,$A62)</f>
        <v>5</v>
      </c>
      <c r="E62" s="11" t="n">
        <f aca="false">COUNTIFS(Intentions!$B$2:$B$365,$A62,Intentions!$H$2:$H$365,"&lt;&gt;Planned")</f>
        <v>5</v>
      </c>
      <c r="F62" s="11" t="n">
        <f aca="false">COUNTIFS(Intentions!$B$2:$B$365,$A62,Intentions!$H$2:$H$365,"Done")+COUNTIFS(Intentions!$B$2:$B$365,$A62,Intentions!$H$2:$H$365,"Partial")</f>
        <v>3</v>
      </c>
      <c r="G62" s="12" t="n">
        <f aca="false">IF(E62=0,"",SUMIFS(Intentions!$K$2:$K$365,Intentions!$B$2:$B$365,$A62)/E62)</f>
        <v>0.6</v>
      </c>
      <c r="H62" s="11" t="n">
        <f aca="false">SUMIFS(Intentions!$G$2:$G$365,Intentions!$B$2:$B$365,$A62)</f>
        <v>255</v>
      </c>
      <c r="I62" s="11" t="n">
        <f aca="false">SUMIFS(Activities!$F$2:$F$190,Activities!$B$2:$B$190,$A62)</f>
        <v>298</v>
      </c>
      <c r="J62" s="11" t="n">
        <f aca="false">SUMIFS(Activities!$F$2:$F$190,Activities!$B$2:$B$190,$A62,Activities!$C$2:$C$190,"Spiritual")</f>
        <v>0</v>
      </c>
      <c r="K62" s="11" t="n">
        <f aca="false">SUMIFS(Activities!$F$2:$F$190,Activities!$B$2:$B$190,$A62,Activities!$C$2:$C$190,"Physical")</f>
        <v>0</v>
      </c>
      <c r="L62" s="11" t="n">
        <f aca="false">SUMIFS(Activities!$F$2:$F$190,Activities!$B$2:$B$190,$A62,Activities!$C$2:$C$190,"Studies")</f>
        <v>147</v>
      </c>
      <c r="M62" s="11" t="n">
        <f aca="false">SUMIFS(Activities!$F$2:$F$190,Activities!$B$2:$B$190,$A62,Activities!$C$2:$C$190,"Professional")</f>
        <v>61</v>
      </c>
      <c r="N62" s="11" t="n">
        <f aca="false">SUMIFS(Activities!$F$2:$F$190,Activities!$B$2:$B$190,$A62,Activities!$C$2:$C$190,"Personal")</f>
        <v>0</v>
      </c>
      <c r="O62" s="11" t="n">
        <f aca="false">SUMIFS(Activities!$F$2:$F$190,Activities!$B$2:$B$190,$A62,Activities!$C$2:$C$190,"Relationships")</f>
        <v>0</v>
      </c>
      <c r="P62" s="11" t="n">
        <f aca="false">SUMIFS(Activities!$F$2:$F$190,Activities!$B$2:$B$190,$A62,Activities!$C$2:$C$190,"Leisure and creativity")</f>
        <v>90</v>
      </c>
      <c r="Q62" s="10" t="n">
        <v>5.5</v>
      </c>
      <c r="R62" s="11"/>
      <c r="S62" s="11" t="n">
        <v>3</v>
      </c>
      <c r="T62" s="11" t="n">
        <v>3</v>
      </c>
      <c r="U62" s="11" t="n">
        <v>3</v>
      </c>
      <c r="V62" s="11" t="n">
        <v>2</v>
      </c>
      <c r="W62" s="11" t="n">
        <v>160</v>
      </c>
      <c r="X62" s="16" t="n">
        <v>4648</v>
      </c>
      <c r="Y62" s="10" t="n">
        <v>1.8</v>
      </c>
      <c r="Z62" s="11" t="n">
        <f aca="false">COUNTIFS(Reflections!$A$2:$A$70,$A62)</f>
        <v>2</v>
      </c>
      <c r="AA62" s="4" t="s">
        <v>80</v>
      </c>
      <c r="AB62" s="11" t="n">
        <v>0</v>
      </c>
      <c r="AC62" s="17" t="s">
        <v>85</v>
      </c>
    </row>
    <row r="63" customFormat="false" ht="15" hidden="false" customHeight="false" outlineLevel="0" collapsed="false">
      <c r="A63" s="15" t="n">
        <v>46283</v>
      </c>
      <c r="B63" s="4" t="str">
        <f aca="false">INDEX({"Monday","Tuesday","Wednesday","Thursday","Friday","Saturday","Sunday"},WEEKDAY($A63,2))</f>
        <v>Friday</v>
      </c>
      <c r="C63" s="4" t="s">
        <v>78</v>
      </c>
      <c r="D63" s="11" t="n">
        <f aca="false">COUNTIFS(Intentions!$B$2:$B$365,$A63)</f>
        <v>5</v>
      </c>
      <c r="E63" s="11" t="n">
        <f aca="false">COUNTIFS(Intentions!$B$2:$B$365,$A63,Intentions!$H$2:$H$365,"&lt;&gt;Planned")</f>
        <v>5</v>
      </c>
      <c r="F63" s="11" t="n">
        <f aca="false">COUNTIFS(Intentions!$B$2:$B$365,$A63,Intentions!$H$2:$H$365,"Done")+COUNTIFS(Intentions!$B$2:$B$365,$A63,Intentions!$H$2:$H$365,"Partial")</f>
        <v>3</v>
      </c>
      <c r="G63" s="12" t="n">
        <f aca="false">IF(E63=0,"",SUMIFS(Intentions!$K$2:$K$365,Intentions!$B$2:$B$365,$A63)/E63)</f>
        <v>0.6</v>
      </c>
      <c r="H63" s="11" t="n">
        <f aca="false">SUMIFS(Intentions!$G$2:$G$365,Intentions!$B$2:$B$365,$A63)</f>
        <v>170</v>
      </c>
      <c r="I63" s="11" t="n">
        <f aca="false">SUMIFS(Activities!$F$2:$F$190,Activities!$B$2:$B$190,$A63)</f>
        <v>55</v>
      </c>
      <c r="J63" s="11" t="n">
        <f aca="false">SUMIFS(Activities!$F$2:$F$190,Activities!$B$2:$B$190,$A63,Activities!$C$2:$C$190,"Spiritual")</f>
        <v>37</v>
      </c>
      <c r="K63" s="11" t="n">
        <f aca="false">SUMIFS(Activities!$F$2:$F$190,Activities!$B$2:$B$190,$A63,Activities!$C$2:$C$190,"Physical")</f>
        <v>0</v>
      </c>
      <c r="L63" s="11" t="n">
        <f aca="false">SUMIFS(Activities!$F$2:$F$190,Activities!$B$2:$B$190,$A63,Activities!$C$2:$C$190,"Studies")</f>
        <v>0</v>
      </c>
      <c r="M63" s="11" t="n">
        <f aca="false">SUMIFS(Activities!$F$2:$F$190,Activities!$B$2:$B$190,$A63,Activities!$C$2:$C$190,"Professional")</f>
        <v>0</v>
      </c>
      <c r="N63" s="11" t="n">
        <f aca="false">SUMIFS(Activities!$F$2:$F$190,Activities!$B$2:$B$190,$A63,Activities!$C$2:$C$190,"Personal")</f>
        <v>18</v>
      </c>
      <c r="O63" s="11" t="n">
        <f aca="false">SUMIFS(Activities!$F$2:$F$190,Activities!$B$2:$B$190,$A63,Activities!$C$2:$C$190,"Relationships")</f>
        <v>0</v>
      </c>
      <c r="P63" s="11" t="n">
        <f aca="false">SUMIFS(Activities!$F$2:$F$190,Activities!$B$2:$B$190,$A63,Activities!$C$2:$C$190,"Leisure and creativity")</f>
        <v>0</v>
      </c>
      <c r="Q63" s="10" t="n">
        <v>7</v>
      </c>
      <c r="R63" s="11"/>
      <c r="S63" s="11" t="n">
        <v>3</v>
      </c>
      <c r="T63" s="11" t="n">
        <v>2</v>
      </c>
      <c r="U63" s="11" t="n">
        <v>3</v>
      </c>
      <c r="V63" s="11" t="n">
        <v>3</v>
      </c>
      <c r="W63" s="11" t="n">
        <v>133</v>
      </c>
      <c r="X63" s="16" t="n">
        <v>7561</v>
      </c>
      <c r="Y63" s="10" t="n">
        <v>1.4</v>
      </c>
      <c r="Z63" s="11" t="n">
        <f aca="false">COUNTIFS(Reflections!$A$2:$A$70,$A63)</f>
        <v>1</v>
      </c>
      <c r="AA63" s="4" t="s">
        <v>80</v>
      </c>
      <c r="AB63" s="11" t="n">
        <v>0</v>
      </c>
      <c r="AC63" s="17" t="s">
        <v>87</v>
      </c>
    </row>
    <row r="64" customFormat="false" ht="15" hidden="false" customHeight="false" outlineLevel="0" collapsed="false">
      <c r="A64" s="15" t="n">
        <v>46284</v>
      </c>
      <c r="B64" s="4" t="str">
        <f aca="false">INDEX({"Monday","Tuesday","Wednesday","Thursday","Friday","Saturday","Sunday"},WEEKDAY($A64,2))</f>
        <v>Saturday</v>
      </c>
      <c r="C64" s="4" t="s">
        <v>78</v>
      </c>
      <c r="D64" s="11" t="n">
        <f aca="false">COUNTIFS(Intentions!$B$2:$B$365,$A64)</f>
        <v>6</v>
      </c>
      <c r="E64" s="11" t="n">
        <f aca="false">COUNTIFS(Intentions!$B$2:$B$365,$A64,Intentions!$H$2:$H$365,"&lt;&gt;Planned")</f>
        <v>6</v>
      </c>
      <c r="F64" s="11" t="n">
        <f aca="false">COUNTIFS(Intentions!$B$2:$B$365,$A64,Intentions!$H$2:$H$365,"Done")+COUNTIFS(Intentions!$B$2:$B$365,$A64,Intentions!$H$2:$H$365,"Partial")</f>
        <v>2</v>
      </c>
      <c r="G64" s="12" t="n">
        <f aca="false">IF(E64=0,"",SUMIFS(Intentions!$K$2:$K$365,Intentions!$B$2:$B$365,$A64)/E64)</f>
        <v>0.333333333333333</v>
      </c>
      <c r="H64" s="11" t="n">
        <f aca="false">SUMIFS(Intentions!$G$2:$G$365,Intentions!$B$2:$B$365,$A64)</f>
        <v>305</v>
      </c>
      <c r="I64" s="11" t="n">
        <f aca="false">SUMIFS(Activities!$F$2:$F$190,Activities!$B$2:$B$190,$A64)</f>
        <v>291</v>
      </c>
      <c r="J64" s="11" t="n">
        <f aca="false">SUMIFS(Activities!$F$2:$F$190,Activities!$B$2:$B$190,$A64,Activities!$C$2:$C$190,"Spiritual")</f>
        <v>16</v>
      </c>
      <c r="K64" s="11" t="n">
        <f aca="false">SUMIFS(Activities!$F$2:$F$190,Activities!$B$2:$B$190,$A64,Activities!$C$2:$C$190,"Physical")</f>
        <v>0</v>
      </c>
      <c r="L64" s="11" t="n">
        <f aca="false">SUMIFS(Activities!$F$2:$F$190,Activities!$B$2:$B$190,$A64,Activities!$C$2:$C$190,"Studies")</f>
        <v>155</v>
      </c>
      <c r="M64" s="11" t="n">
        <f aca="false">SUMIFS(Activities!$F$2:$F$190,Activities!$B$2:$B$190,$A64,Activities!$C$2:$C$190,"Professional")</f>
        <v>0</v>
      </c>
      <c r="N64" s="11" t="n">
        <f aca="false">SUMIFS(Activities!$F$2:$F$190,Activities!$B$2:$B$190,$A64,Activities!$C$2:$C$190,"Personal")</f>
        <v>0</v>
      </c>
      <c r="O64" s="11" t="n">
        <f aca="false">SUMIFS(Activities!$F$2:$F$190,Activities!$B$2:$B$190,$A64,Activities!$C$2:$C$190,"Relationships")</f>
        <v>0</v>
      </c>
      <c r="P64" s="11" t="n">
        <f aca="false">SUMIFS(Activities!$F$2:$F$190,Activities!$B$2:$B$190,$A64,Activities!$C$2:$C$190,"Leisure and creativity")</f>
        <v>120</v>
      </c>
      <c r="Q64" s="10" t="n">
        <v>7.8</v>
      </c>
      <c r="R64" s="11"/>
      <c r="S64" s="11" t="n">
        <v>3</v>
      </c>
      <c r="T64" s="11" t="n">
        <v>3</v>
      </c>
      <c r="U64" s="11" t="n">
        <v>3</v>
      </c>
      <c r="V64" s="11" t="n">
        <v>4</v>
      </c>
      <c r="W64" s="11" t="n">
        <v>225</v>
      </c>
      <c r="X64" s="16" t="n">
        <v>3536</v>
      </c>
      <c r="Y64" s="10" t="n">
        <v>1.7</v>
      </c>
      <c r="Z64" s="11" t="n">
        <f aca="false">COUNTIFS(Reflections!$A$2:$A$70,$A64)</f>
        <v>2</v>
      </c>
      <c r="AA64" s="4" t="s">
        <v>80</v>
      </c>
      <c r="AB64" s="11" t="n">
        <v>0</v>
      </c>
      <c r="AC64" s="17"/>
    </row>
    <row r="65" customFormat="false" ht="15" hidden="false" customHeight="false" outlineLevel="0" collapsed="false">
      <c r="A65" s="15" t="n">
        <v>46285</v>
      </c>
      <c r="B65" s="4" t="str">
        <f aca="false">INDEX({"Monday","Tuesday","Wednesday","Thursday","Friday","Saturday","Sunday"},WEEKDAY($A65,2))</f>
        <v>Sunday</v>
      </c>
      <c r="C65" s="4" t="s">
        <v>78</v>
      </c>
      <c r="D65" s="11" t="n">
        <f aca="false">COUNTIFS(Intentions!$B$2:$B$365,$A65)</f>
        <v>4</v>
      </c>
      <c r="E65" s="11" t="n">
        <f aca="false">COUNTIFS(Intentions!$B$2:$B$365,$A65,Intentions!$H$2:$H$365,"&lt;&gt;Planned")</f>
        <v>4</v>
      </c>
      <c r="F65" s="11" t="n">
        <f aca="false">COUNTIFS(Intentions!$B$2:$B$365,$A65,Intentions!$H$2:$H$365,"Done")+COUNTIFS(Intentions!$B$2:$B$365,$A65,Intentions!$H$2:$H$365,"Partial")</f>
        <v>3</v>
      </c>
      <c r="G65" s="12" t="n">
        <f aca="false">IF(E65=0,"",SUMIFS(Intentions!$K$2:$K$365,Intentions!$B$2:$B$365,$A65)/E65)</f>
        <v>0.75</v>
      </c>
      <c r="H65" s="11" t="n">
        <f aca="false">SUMIFS(Intentions!$G$2:$G$365,Intentions!$B$2:$B$365,$A65)</f>
        <v>165</v>
      </c>
      <c r="I65" s="11" t="n">
        <f aca="false">SUMIFS(Activities!$F$2:$F$190,Activities!$B$2:$B$190,$A65)</f>
        <v>135</v>
      </c>
      <c r="J65" s="11" t="n">
        <f aca="false">SUMIFS(Activities!$F$2:$F$190,Activities!$B$2:$B$190,$A65,Activities!$C$2:$C$190,"Spiritual")</f>
        <v>19</v>
      </c>
      <c r="K65" s="11" t="n">
        <f aca="false">SUMIFS(Activities!$F$2:$F$190,Activities!$B$2:$B$190,$A65,Activities!$C$2:$C$190,"Physical")</f>
        <v>0</v>
      </c>
      <c r="L65" s="11" t="n">
        <f aca="false">SUMIFS(Activities!$F$2:$F$190,Activities!$B$2:$B$190,$A65,Activities!$C$2:$C$190,"Studies")</f>
        <v>62</v>
      </c>
      <c r="M65" s="11" t="n">
        <f aca="false">SUMIFS(Activities!$F$2:$F$190,Activities!$B$2:$B$190,$A65,Activities!$C$2:$C$190,"Professional")</f>
        <v>54</v>
      </c>
      <c r="N65" s="11" t="n">
        <f aca="false">SUMIFS(Activities!$F$2:$F$190,Activities!$B$2:$B$190,$A65,Activities!$C$2:$C$190,"Personal")</f>
        <v>0</v>
      </c>
      <c r="O65" s="11" t="n">
        <f aca="false">SUMIFS(Activities!$F$2:$F$190,Activities!$B$2:$B$190,$A65,Activities!$C$2:$C$190,"Relationships")</f>
        <v>0</v>
      </c>
      <c r="P65" s="11" t="n">
        <f aca="false">SUMIFS(Activities!$F$2:$F$190,Activities!$B$2:$B$190,$A65,Activities!$C$2:$C$190,"Leisure and creativity")</f>
        <v>0</v>
      </c>
      <c r="Q65" s="10" t="n">
        <v>6.1</v>
      </c>
      <c r="R65" s="11"/>
      <c r="S65" s="11" t="n">
        <v>2</v>
      </c>
      <c r="T65" s="11" t="n">
        <v>1</v>
      </c>
      <c r="U65" s="11" t="n">
        <v>3</v>
      </c>
      <c r="V65" s="11" t="n">
        <v>2</v>
      </c>
      <c r="W65" s="11" t="n">
        <v>143</v>
      </c>
      <c r="X65" s="16" t="n">
        <v>10445</v>
      </c>
      <c r="Y65" s="10" t="n">
        <v>1.3</v>
      </c>
      <c r="Z65" s="11" t="n">
        <f aca="false">COUNTIFS(Reflections!$A$2:$A$70,$A65)</f>
        <v>0</v>
      </c>
      <c r="AA65" s="4" t="s">
        <v>79</v>
      </c>
      <c r="AB65" s="11" t="n">
        <v>2</v>
      </c>
      <c r="AC65" s="17"/>
    </row>
    <row r="66" customFormat="false" ht="15" hidden="false" customHeight="false" outlineLevel="0" collapsed="false">
      <c r="A66" s="15" t="n">
        <v>46286</v>
      </c>
      <c r="B66" s="4" t="str">
        <f aca="false">INDEX({"Monday","Tuesday","Wednesday","Thursday","Friday","Saturday","Sunday"},WEEKDAY($A66,2))</f>
        <v>Monday</v>
      </c>
      <c r="C66" s="4" t="s">
        <v>78</v>
      </c>
      <c r="D66" s="11" t="n">
        <f aca="false">COUNTIFS(Intentions!$B$2:$B$365,$A66)</f>
        <v>2</v>
      </c>
      <c r="E66" s="11" t="n">
        <f aca="false">COUNTIFS(Intentions!$B$2:$B$365,$A66,Intentions!$H$2:$H$365,"&lt;&gt;Planned")</f>
        <v>2</v>
      </c>
      <c r="F66" s="11" t="n">
        <f aca="false">COUNTIFS(Intentions!$B$2:$B$365,$A66,Intentions!$H$2:$H$365,"Done")+COUNTIFS(Intentions!$B$2:$B$365,$A66,Intentions!$H$2:$H$365,"Partial")</f>
        <v>1</v>
      </c>
      <c r="G66" s="12" t="n">
        <f aca="false">IF(E66=0,"",SUMIFS(Intentions!$K$2:$K$365,Intentions!$B$2:$B$365,$A66)/E66)</f>
        <v>0.5</v>
      </c>
      <c r="H66" s="11" t="n">
        <f aca="false">SUMIFS(Intentions!$G$2:$G$365,Intentions!$B$2:$B$365,$A66)</f>
        <v>180</v>
      </c>
      <c r="I66" s="11" t="n">
        <f aca="false">SUMIFS(Activities!$F$2:$F$190,Activities!$B$2:$B$190,$A66)</f>
        <v>63</v>
      </c>
      <c r="J66" s="11" t="n">
        <f aca="false">SUMIFS(Activities!$F$2:$F$190,Activities!$B$2:$B$190,$A66,Activities!$C$2:$C$190,"Spiritual")</f>
        <v>0</v>
      </c>
      <c r="K66" s="11" t="n">
        <f aca="false">SUMIFS(Activities!$F$2:$F$190,Activities!$B$2:$B$190,$A66,Activities!$C$2:$C$190,"Physical")</f>
        <v>0</v>
      </c>
      <c r="L66" s="11" t="n">
        <f aca="false">SUMIFS(Activities!$F$2:$F$190,Activities!$B$2:$B$190,$A66,Activities!$C$2:$C$190,"Studies")</f>
        <v>63</v>
      </c>
      <c r="M66" s="11" t="n">
        <f aca="false">SUMIFS(Activities!$F$2:$F$190,Activities!$B$2:$B$190,$A66,Activities!$C$2:$C$190,"Professional")</f>
        <v>0</v>
      </c>
      <c r="N66" s="11" t="n">
        <f aca="false">SUMIFS(Activities!$F$2:$F$190,Activities!$B$2:$B$190,$A66,Activities!$C$2:$C$190,"Personal")</f>
        <v>0</v>
      </c>
      <c r="O66" s="11" t="n">
        <f aca="false">SUMIFS(Activities!$F$2:$F$190,Activities!$B$2:$B$190,$A66,Activities!$C$2:$C$190,"Relationships")</f>
        <v>0</v>
      </c>
      <c r="P66" s="11" t="n">
        <f aca="false">SUMIFS(Activities!$F$2:$F$190,Activities!$B$2:$B$190,$A66,Activities!$C$2:$C$190,"Leisure and creativity")</f>
        <v>0</v>
      </c>
      <c r="Q66" s="10" t="n">
        <v>6</v>
      </c>
      <c r="R66" s="11"/>
      <c r="S66" s="11" t="n">
        <v>3</v>
      </c>
      <c r="T66" s="11" t="n">
        <v>3</v>
      </c>
      <c r="U66" s="11" t="n">
        <v>3</v>
      </c>
      <c r="V66" s="11" t="n">
        <v>2</v>
      </c>
      <c r="W66" s="11" t="n">
        <v>248</v>
      </c>
      <c r="X66" s="16" t="n">
        <v>9301</v>
      </c>
      <c r="Y66" s="10" t="n">
        <v>1.9</v>
      </c>
      <c r="Z66" s="11" t="n">
        <f aca="false">COUNTIFS(Reflections!$A$2:$A$70,$A66)</f>
        <v>0</v>
      </c>
      <c r="AA66" s="4" t="s">
        <v>80</v>
      </c>
      <c r="AB66" s="11" t="n">
        <v>0</v>
      </c>
      <c r="AC66" s="17"/>
    </row>
    <row r="67" customFormat="false" ht="15" hidden="false" customHeight="false" outlineLevel="0" collapsed="false">
      <c r="A67" s="15" t="n">
        <v>46287</v>
      </c>
      <c r="B67" s="4" t="str">
        <f aca="false">INDEX({"Monday","Tuesday","Wednesday","Thursday","Friday","Saturday","Sunday"},WEEKDAY($A67,2))</f>
        <v>Tuesday</v>
      </c>
      <c r="C67" s="4" t="s">
        <v>78</v>
      </c>
      <c r="D67" s="11" t="n">
        <f aca="false">COUNTIFS(Intentions!$B$2:$B$365,$A67)</f>
        <v>3</v>
      </c>
      <c r="E67" s="11" t="n">
        <f aca="false">COUNTIFS(Intentions!$B$2:$B$365,$A67,Intentions!$H$2:$H$365,"&lt;&gt;Planned")</f>
        <v>3</v>
      </c>
      <c r="F67" s="11" t="n">
        <f aca="false">COUNTIFS(Intentions!$B$2:$B$365,$A67,Intentions!$H$2:$H$365,"Done")+COUNTIFS(Intentions!$B$2:$B$365,$A67,Intentions!$H$2:$H$365,"Partial")</f>
        <v>0</v>
      </c>
      <c r="G67" s="12" t="n">
        <f aca="false">IF(E67=0,"",SUMIFS(Intentions!$K$2:$K$365,Intentions!$B$2:$B$365,$A67)/E67)</f>
        <v>0</v>
      </c>
      <c r="H67" s="11" t="n">
        <f aca="false">SUMIFS(Intentions!$G$2:$G$365,Intentions!$B$2:$B$365,$A67)</f>
        <v>100</v>
      </c>
      <c r="I67" s="11" t="n">
        <f aca="false">SUMIFS(Activities!$F$2:$F$190,Activities!$B$2:$B$190,$A67)</f>
        <v>0</v>
      </c>
      <c r="J67" s="11" t="n">
        <f aca="false">SUMIFS(Activities!$F$2:$F$190,Activities!$B$2:$B$190,$A67,Activities!$C$2:$C$190,"Spiritual")</f>
        <v>0</v>
      </c>
      <c r="K67" s="11" t="n">
        <f aca="false">SUMIFS(Activities!$F$2:$F$190,Activities!$B$2:$B$190,$A67,Activities!$C$2:$C$190,"Physical")</f>
        <v>0</v>
      </c>
      <c r="L67" s="11" t="n">
        <f aca="false">SUMIFS(Activities!$F$2:$F$190,Activities!$B$2:$B$190,$A67,Activities!$C$2:$C$190,"Studies")</f>
        <v>0</v>
      </c>
      <c r="M67" s="11" t="n">
        <f aca="false">SUMIFS(Activities!$F$2:$F$190,Activities!$B$2:$B$190,$A67,Activities!$C$2:$C$190,"Professional")</f>
        <v>0</v>
      </c>
      <c r="N67" s="11" t="n">
        <f aca="false">SUMIFS(Activities!$F$2:$F$190,Activities!$B$2:$B$190,$A67,Activities!$C$2:$C$190,"Personal")</f>
        <v>0</v>
      </c>
      <c r="O67" s="11" t="n">
        <f aca="false">SUMIFS(Activities!$F$2:$F$190,Activities!$B$2:$B$190,$A67,Activities!$C$2:$C$190,"Relationships")</f>
        <v>0</v>
      </c>
      <c r="P67" s="11" t="n">
        <f aca="false">SUMIFS(Activities!$F$2:$F$190,Activities!$B$2:$B$190,$A67,Activities!$C$2:$C$190,"Leisure and creativity")</f>
        <v>0</v>
      </c>
      <c r="Q67" s="10" t="n">
        <v>6.6</v>
      </c>
      <c r="R67" s="11"/>
      <c r="S67" s="11" t="n">
        <v>2</v>
      </c>
      <c r="T67" s="11" t="n">
        <v>2</v>
      </c>
      <c r="U67" s="11" t="n">
        <v>3</v>
      </c>
      <c r="V67" s="11" t="n">
        <v>3</v>
      </c>
      <c r="W67" s="11" t="n">
        <v>200</v>
      </c>
      <c r="X67" s="16" t="n">
        <v>11461</v>
      </c>
      <c r="Y67" s="10" t="n">
        <v>2.5</v>
      </c>
      <c r="Z67" s="11" t="n">
        <f aca="false">COUNTIFS(Reflections!$A$2:$A$70,$A67)</f>
        <v>1</v>
      </c>
      <c r="AA67" s="4" t="s">
        <v>80</v>
      </c>
      <c r="AB67" s="11" t="n">
        <v>0</v>
      </c>
      <c r="AC67" s="17"/>
    </row>
    <row r="68" customFormat="false" ht="15" hidden="false" customHeight="false" outlineLevel="0" collapsed="false">
      <c r="A68" s="15" t="n">
        <v>46288</v>
      </c>
      <c r="B68" s="4" t="str">
        <f aca="false">INDEX({"Monday","Tuesday","Wednesday","Thursday","Friday","Saturday","Sunday"},WEEKDAY($A68,2))</f>
        <v>Wednesday</v>
      </c>
      <c r="C68" s="4" t="s">
        <v>78</v>
      </c>
      <c r="D68" s="11" t="n">
        <f aca="false">COUNTIFS(Intentions!$B$2:$B$365,$A68)</f>
        <v>3</v>
      </c>
      <c r="E68" s="11" t="n">
        <f aca="false">COUNTIFS(Intentions!$B$2:$B$365,$A68,Intentions!$H$2:$H$365,"&lt;&gt;Planned")</f>
        <v>3</v>
      </c>
      <c r="F68" s="11" t="n">
        <f aca="false">COUNTIFS(Intentions!$B$2:$B$365,$A68,Intentions!$H$2:$H$365,"Done")+COUNTIFS(Intentions!$B$2:$B$365,$A68,Intentions!$H$2:$H$365,"Partial")</f>
        <v>3</v>
      </c>
      <c r="G68" s="12" t="n">
        <f aca="false">IF(E68=0,"",SUMIFS(Intentions!$K$2:$K$365,Intentions!$B$2:$B$365,$A68)/E68)</f>
        <v>1</v>
      </c>
      <c r="H68" s="11" t="n">
        <f aca="false">SUMIFS(Intentions!$G$2:$G$365,Intentions!$B$2:$B$365,$A68)</f>
        <v>130</v>
      </c>
      <c r="I68" s="11" t="n">
        <f aca="false">SUMIFS(Activities!$F$2:$F$190,Activities!$B$2:$B$190,$A68)</f>
        <v>182</v>
      </c>
      <c r="J68" s="11" t="n">
        <f aca="false">SUMIFS(Activities!$F$2:$F$190,Activities!$B$2:$B$190,$A68,Activities!$C$2:$C$190,"Spiritual")</f>
        <v>0</v>
      </c>
      <c r="K68" s="11" t="n">
        <f aca="false">SUMIFS(Activities!$F$2:$F$190,Activities!$B$2:$B$190,$A68,Activities!$C$2:$C$190,"Physical")</f>
        <v>35</v>
      </c>
      <c r="L68" s="11" t="n">
        <f aca="false">SUMIFS(Activities!$F$2:$F$190,Activities!$B$2:$B$190,$A68,Activities!$C$2:$C$190,"Studies")</f>
        <v>116</v>
      </c>
      <c r="M68" s="11" t="n">
        <f aca="false">SUMIFS(Activities!$F$2:$F$190,Activities!$B$2:$B$190,$A68,Activities!$C$2:$C$190,"Professional")</f>
        <v>0</v>
      </c>
      <c r="N68" s="11" t="n">
        <f aca="false">SUMIFS(Activities!$F$2:$F$190,Activities!$B$2:$B$190,$A68,Activities!$C$2:$C$190,"Personal")</f>
        <v>0</v>
      </c>
      <c r="O68" s="11" t="n">
        <f aca="false">SUMIFS(Activities!$F$2:$F$190,Activities!$B$2:$B$190,$A68,Activities!$C$2:$C$190,"Relationships")</f>
        <v>0</v>
      </c>
      <c r="P68" s="11" t="n">
        <f aca="false">SUMIFS(Activities!$F$2:$F$190,Activities!$B$2:$B$190,$A68,Activities!$C$2:$C$190,"Leisure and creativity")</f>
        <v>31</v>
      </c>
      <c r="Q68" s="10" t="n">
        <v>8.1</v>
      </c>
      <c r="R68" s="11"/>
      <c r="S68" s="11" t="n">
        <v>5</v>
      </c>
      <c r="T68" s="11" t="n">
        <v>5</v>
      </c>
      <c r="U68" s="11" t="n">
        <v>4</v>
      </c>
      <c r="V68" s="11" t="n">
        <v>3</v>
      </c>
      <c r="W68" s="11" t="n">
        <v>195</v>
      </c>
      <c r="X68" s="16" t="n">
        <v>10098</v>
      </c>
      <c r="Y68" s="10" t="n">
        <v>1.7</v>
      </c>
      <c r="Z68" s="11" t="n">
        <f aca="false">COUNTIFS(Reflections!$A$2:$A$70,$A68)</f>
        <v>1</v>
      </c>
      <c r="AA68" s="4" t="s">
        <v>80</v>
      </c>
      <c r="AB68" s="11" t="n">
        <v>0</v>
      </c>
      <c r="AC68" s="17"/>
    </row>
    <row r="69" customFormat="false" ht="15" hidden="false" customHeight="false" outlineLevel="0" collapsed="false">
      <c r="A69" s="15" t="n">
        <v>46289</v>
      </c>
      <c r="B69" s="4" t="str">
        <f aca="false">INDEX({"Monday","Tuesday","Wednesday","Thursday","Friday","Saturday","Sunday"},WEEKDAY($A69,2))</f>
        <v>Thursday</v>
      </c>
      <c r="C69" s="4" t="s">
        <v>78</v>
      </c>
      <c r="D69" s="11" t="n">
        <f aca="false">COUNTIFS(Intentions!$B$2:$B$365,$A69)</f>
        <v>6</v>
      </c>
      <c r="E69" s="11" t="n">
        <f aca="false">COUNTIFS(Intentions!$B$2:$B$365,$A69,Intentions!$H$2:$H$365,"&lt;&gt;Planned")</f>
        <v>6</v>
      </c>
      <c r="F69" s="11" t="n">
        <f aca="false">COUNTIFS(Intentions!$B$2:$B$365,$A69,Intentions!$H$2:$H$365,"Done")+COUNTIFS(Intentions!$B$2:$B$365,$A69,Intentions!$H$2:$H$365,"Partial")</f>
        <v>3</v>
      </c>
      <c r="G69" s="12" t="n">
        <f aca="false">IF(E69=0,"",SUMIFS(Intentions!$K$2:$K$365,Intentions!$B$2:$B$365,$A69)/E69)</f>
        <v>0.5</v>
      </c>
      <c r="H69" s="11" t="n">
        <f aca="false">SUMIFS(Intentions!$G$2:$G$365,Intentions!$B$2:$B$365,$A69)</f>
        <v>205</v>
      </c>
      <c r="I69" s="11" t="n">
        <f aca="false">SUMIFS(Activities!$F$2:$F$190,Activities!$B$2:$B$190,$A69)</f>
        <v>149</v>
      </c>
      <c r="J69" s="11" t="n">
        <f aca="false">SUMIFS(Activities!$F$2:$F$190,Activities!$B$2:$B$190,$A69,Activities!$C$2:$C$190,"Spiritual")</f>
        <v>44</v>
      </c>
      <c r="K69" s="11" t="n">
        <f aca="false">SUMIFS(Activities!$F$2:$F$190,Activities!$B$2:$B$190,$A69,Activities!$C$2:$C$190,"Physical")</f>
        <v>0</v>
      </c>
      <c r="L69" s="11" t="n">
        <f aca="false">SUMIFS(Activities!$F$2:$F$190,Activities!$B$2:$B$190,$A69,Activities!$C$2:$C$190,"Studies")</f>
        <v>0</v>
      </c>
      <c r="M69" s="11" t="n">
        <f aca="false">SUMIFS(Activities!$F$2:$F$190,Activities!$B$2:$B$190,$A69,Activities!$C$2:$C$190,"Professional")</f>
        <v>0</v>
      </c>
      <c r="N69" s="11" t="n">
        <f aca="false">SUMIFS(Activities!$F$2:$F$190,Activities!$B$2:$B$190,$A69,Activities!$C$2:$C$190,"Personal")</f>
        <v>15</v>
      </c>
      <c r="O69" s="11" t="n">
        <f aca="false">SUMIFS(Activities!$F$2:$F$190,Activities!$B$2:$B$190,$A69,Activities!$C$2:$C$190,"Relationships")</f>
        <v>0</v>
      </c>
      <c r="P69" s="11" t="n">
        <f aca="false">SUMIFS(Activities!$F$2:$F$190,Activities!$B$2:$B$190,$A69,Activities!$C$2:$C$190,"Leisure and creativity")</f>
        <v>90</v>
      </c>
      <c r="Q69" s="10" t="n">
        <v>4.9</v>
      </c>
      <c r="R69" s="11"/>
      <c r="S69" s="11" t="n">
        <v>3</v>
      </c>
      <c r="T69" s="11" t="n">
        <v>3</v>
      </c>
      <c r="U69" s="11" t="n">
        <v>3</v>
      </c>
      <c r="V69" s="11" t="n">
        <v>2</v>
      </c>
      <c r="W69" s="11" t="n">
        <v>188</v>
      </c>
      <c r="X69" s="16" t="n">
        <v>8331</v>
      </c>
      <c r="Y69" s="10" t="n">
        <v>1.6</v>
      </c>
      <c r="Z69" s="11" t="n">
        <f aca="false">COUNTIFS(Reflections!$A$2:$A$70,$A69)</f>
        <v>1</v>
      </c>
      <c r="AA69" s="4" t="s">
        <v>80</v>
      </c>
      <c r="AB69" s="11" t="n">
        <v>0</v>
      </c>
      <c r="AC69" s="17"/>
    </row>
    <row r="70" customFormat="false" ht="15" hidden="false" customHeight="false" outlineLevel="0" collapsed="false">
      <c r="A70" s="15" t="n">
        <v>46290</v>
      </c>
      <c r="B70" s="4" t="str">
        <f aca="false">INDEX({"Monday","Tuesday","Wednesday","Thursday","Friday","Saturday","Sunday"},WEEKDAY($A70,2))</f>
        <v>Friday</v>
      </c>
      <c r="C70" s="4" t="s">
        <v>81</v>
      </c>
      <c r="D70" s="11" t="n">
        <f aca="false">COUNTIFS(Intentions!$B$2:$B$365,$A70)</f>
        <v>0</v>
      </c>
      <c r="E70" s="11" t="n">
        <f aca="false">COUNTIFS(Intentions!$B$2:$B$365,$A70,Intentions!$H$2:$H$365,"&lt;&gt;Planned")</f>
        <v>0</v>
      </c>
      <c r="F70" s="11" t="n">
        <f aca="false">COUNTIFS(Intentions!$B$2:$B$365,$A70,Intentions!$H$2:$H$365,"Done")+COUNTIFS(Intentions!$B$2:$B$365,$A70,Intentions!$H$2:$H$365,"Partial")</f>
        <v>0</v>
      </c>
      <c r="G70" s="12" t="str">
        <f aca="false">IF(E70=0,"",SUMIFS(Intentions!$K$2:$K$365,Intentions!$B$2:$B$365,$A70)/E70)</f>
        <v/>
      </c>
      <c r="H70" s="11" t="n">
        <f aca="false">SUMIFS(Intentions!$G$2:$G$365,Intentions!$B$2:$B$365,$A70)</f>
        <v>0</v>
      </c>
      <c r="I70" s="11" t="n">
        <f aca="false">SUMIFS(Activities!$F$2:$F$190,Activities!$B$2:$B$190,$A70)</f>
        <v>0</v>
      </c>
      <c r="J70" s="11" t="n">
        <f aca="false">SUMIFS(Activities!$F$2:$F$190,Activities!$B$2:$B$190,$A70,Activities!$C$2:$C$190,"Spiritual")</f>
        <v>0</v>
      </c>
      <c r="K70" s="11" t="n">
        <f aca="false">SUMIFS(Activities!$F$2:$F$190,Activities!$B$2:$B$190,$A70,Activities!$C$2:$C$190,"Physical")</f>
        <v>0</v>
      </c>
      <c r="L70" s="11" t="n">
        <f aca="false">SUMIFS(Activities!$F$2:$F$190,Activities!$B$2:$B$190,$A70,Activities!$C$2:$C$190,"Studies")</f>
        <v>0</v>
      </c>
      <c r="M70" s="11" t="n">
        <f aca="false">SUMIFS(Activities!$F$2:$F$190,Activities!$B$2:$B$190,$A70,Activities!$C$2:$C$190,"Professional")</f>
        <v>0</v>
      </c>
      <c r="N70" s="11" t="n">
        <f aca="false">SUMIFS(Activities!$F$2:$F$190,Activities!$B$2:$B$190,$A70,Activities!$C$2:$C$190,"Personal")</f>
        <v>0</v>
      </c>
      <c r="O70" s="11" t="n">
        <f aca="false">SUMIFS(Activities!$F$2:$F$190,Activities!$B$2:$B$190,$A70,Activities!$C$2:$C$190,"Relationships")</f>
        <v>0</v>
      </c>
      <c r="P70" s="11" t="n">
        <f aca="false">SUMIFS(Activities!$F$2:$F$190,Activities!$B$2:$B$190,$A70,Activities!$C$2:$C$190,"Leisure and creativity")</f>
        <v>0</v>
      </c>
      <c r="Q70" s="10"/>
      <c r="R70" s="11"/>
      <c r="S70" s="11"/>
      <c r="T70" s="11"/>
      <c r="U70" s="11"/>
      <c r="V70" s="11"/>
      <c r="W70" s="11"/>
      <c r="X70" s="16"/>
      <c r="Y70" s="10"/>
      <c r="Z70" s="11" t="n">
        <f aca="false">COUNTIFS(Reflections!$A$2:$A$70,$A70)</f>
        <v>0</v>
      </c>
      <c r="AA70" s="4" t="s">
        <v>82</v>
      </c>
      <c r="AB70" s="11"/>
      <c r="AC70" s="17"/>
    </row>
    <row r="71" customFormat="false" ht="15" hidden="false" customHeight="false" outlineLevel="0" collapsed="false">
      <c r="A71" s="15" t="n">
        <v>46291</v>
      </c>
      <c r="B71" s="4" t="str">
        <f aca="false">INDEX({"Monday","Tuesday","Wednesday","Thursday","Friday","Saturday","Sunday"},WEEKDAY($A71,2))</f>
        <v>Saturday</v>
      </c>
      <c r="C71" s="4" t="s">
        <v>78</v>
      </c>
      <c r="D71" s="11" t="n">
        <f aca="false">COUNTIFS(Intentions!$B$2:$B$365,$A71)</f>
        <v>3</v>
      </c>
      <c r="E71" s="11" t="n">
        <f aca="false">COUNTIFS(Intentions!$B$2:$B$365,$A71,Intentions!$H$2:$H$365,"&lt;&gt;Planned")</f>
        <v>3</v>
      </c>
      <c r="F71" s="11" t="n">
        <f aca="false">COUNTIFS(Intentions!$B$2:$B$365,$A71,Intentions!$H$2:$H$365,"Done")+COUNTIFS(Intentions!$B$2:$B$365,$A71,Intentions!$H$2:$H$365,"Partial")</f>
        <v>2</v>
      </c>
      <c r="G71" s="12" t="n">
        <f aca="false">IF(E71=0,"",SUMIFS(Intentions!$K$2:$K$365,Intentions!$B$2:$B$365,$A71)/E71)</f>
        <v>0.5</v>
      </c>
      <c r="H71" s="11" t="n">
        <f aca="false">SUMIFS(Intentions!$G$2:$G$365,Intentions!$B$2:$B$365,$A71)</f>
        <v>120</v>
      </c>
      <c r="I71" s="11" t="n">
        <f aca="false">SUMIFS(Activities!$F$2:$F$190,Activities!$B$2:$B$190,$A71)</f>
        <v>210</v>
      </c>
      <c r="J71" s="11" t="n">
        <f aca="false">SUMIFS(Activities!$F$2:$F$190,Activities!$B$2:$B$190,$A71,Activities!$C$2:$C$190,"Spiritual")</f>
        <v>12</v>
      </c>
      <c r="K71" s="11" t="n">
        <f aca="false">SUMIFS(Activities!$F$2:$F$190,Activities!$B$2:$B$190,$A71,Activities!$C$2:$C$190,"Physical")</f>
        <v>0</v>
      </c>
      <c r="L71" s="11" t="n">
        <f aca="false">SUMIFS(Activities!$F$2:$F$190,Activities!$B$2:$B$190,$A71,Activities!$C$2:$C$190,"Studies")</f>
        <v>78</v>
      </c>
      <c r="M71" s="11" t="n">
        <f aca="false">SUMIFS(Activities!$F$2:$F$190,Activities!$B$2:$B$190,$A71,Activities!$C$2:$C$190,"Professional")</f>
        <v>0</v>
      </c>
      <c r="N71" s="11" t="n">
        <f aca="false">SUMIFS(Activities!$F$2:$F$190,Activities!$B$2:$B$190,$A71,Activities!$C$2:$C$190,"Personal")</f>
        <v>0</v>
      </c>
      <c r="O71" s="11" t="n">
        <f aca="false">SUMIFS(Activities!$F$2:$F$190,Activities!$B$2:$B$190,$A71,Activities!$C$2:$C$190,"Relationships")</f>
        <v>0</v>
      </c>
      <c r="P71" s="11" t="n">
        <f aca="false">SUMIFS(Activities!$F$2:$F$190,Activities!$B$2:$B$190,$A71,Activities!$C$2:$C$190,"Leisure and creativity")</f>
        <v>120</v>
      </c>
      <c r="Q71" s="10" t="n">
        <v>6.9</v>
      </c>
      <c r="R71" s="11"/>
      <c r="S71" s="11" t="n">
        <v>3</v>
      </c>
      <c r="T71" s="11" t="n">
        <v>2</v>
      </c>
      <c r="U71" s="11" t="n">
        <v>3</v>
      </c>
      <c r="V71" s="11" t="n">
        <v>5</v>
      </c>
      <c r="W71" s="11" t="n">
        <v>277</v>
      </c>
      <c r="X71" s="16" t="n">
        <v>9769</v>
      </c>
      <c r="Y71" s="10" t="n">
        <v>1.8</v>
      </c>
      <c r="Z71" s="11" t="n">
        <f aca="false">COUNTIFS(Reflections!$A$2:$A$70,$A71)</f>
        <v>1</v>
      </c>
      <c r="AA71" s="4" t="s">
        <v>79</v>
      </c>
      <c r="AB71" s="11" t="n">
        <v>2</v>
      </c>
      <c r="AC71" s="17"/>
    </row>
    <row r="72" customFormat="false" ht="15" hidden="false" customHeight="false" outlineLevel="0" collapsed="false">
      <c r="A72" s="15" t="n">
        <v>46292</v>
      </c>
      <c r="B72" s="4" t="str">
        <f aca="false">INDEX({"Monday","Tuesday","Wednesday","Thursday","Friday","Saturday","Sunday"},WEEKDAY($A72,2))</f>
        <v>Sunday</v>
      </c>
      <c r="C72" s="4" t="s">
        <v>78</v>
      </c>
      <c r="D72" s="11" t="n">
        <f aca="false">COUNTIFS(Intentions!$B$2:$B$365,$A72)</f>
        <v>4</v>
      </c>
      <c r="E72" s="11" t="n">
        <f aca="false">COUNTIFS(Intentions!$B$2:$B$365,$A72,Intentions!$H$2:$H$365,"&lt;&gt;Planned")</f>
        <v>4</v>
      </c>
      <c r="F72" s="11" t="n">
        <f aca="false">COUNTIFS(Intentions!$B$2:$B$365,$A72,Intentions!$H$2:$H$365,"Done")+COUNTIFS(Intentions!$B$2:$B$365,$A72,Intentions!$H$2:$H$365,"Partial")</f>
        <v>2</v>
      </c>
      <c r="G72" s="12" t="n">
        <f aca="false">IF(E72=0,"",SUMIFS(Intentions!$K$2:$K$365,Intentions!$B$2:$B$365,$A72)/E72)</f>
        <v>0.5</v>
      </c>
      <c r="H72" s="11" t="n">
        <f aca="false">SUMIFS(Intentions!$G$2:$G$365,Intentions!$B$2:$B$365,$A72)</f>
        <v>180</v>
      </c>
      <c r="I72" s="11" t="n">
        <f aca="false">SUMIFS(Activities!$F$2:$F$190,Activities!$B$2:$B$190,$A72)</f>
        <v>108</v>
      </c>
      <c r="J72" s="11" t="n">
        <f aca="false">SUMIFS(Activities!$F$2:$F$190,Activities!$B$2:$B$190,$A72,Activities!$C$2:$C$190,"Spiritual")</f>
        <v>21</v>
      </c>
      <c r="K72" s="11" t="n">
        <f aca="false">SUMIFS(Activities!$F$2:$F$190,Activities!$B$2:$B$190,$A72,Activities!$C$2:$C$190,"Physical")</f>
        <v>0</v>
      </c>
      <c r="L72" s="11" t="n">
        <f aca="false">SUMIFS(Activities!$F$2:$F$190,Activities!$B$2:$B$190,$A72,Activities!$C$2:$C$190,"Studies")</f>
        <v>87</v>
      </c>
      <c r="M72" s="11" t="n">
        <f aca="false">SUMIFS(Activities!$F$2:$F$190,Activities!$B$2:$B$190,$A72,Activities!$C$2:$C$190,"Professional")</f>
        <v>0</v>
      </c>
      <c r="N72" s="11" t="n">
        <f aca="false">SUMIFS(Activities!$F$2:$F$190,Activities!$B$2:$B$190,$A72,Activities!$C$2:$C$190,"Personal")</f>
        <v>0</v>
      </c>
      <c r="O72" s="11" t="n">
        <f aca="false">SUMIFS(Activities!$F$2:$F$190,Activities!$B$2:$B$190,$A72,Activities!$C$2:$C$190,"Relationships")</f>
        <v>0</v>
      </c>
      <c r="P72" s="11" t="n">
        <f aca="false">SUMIFS(Activities!$F$2:$F$190,Activities!$B$2:$B$190,$A72,Activities!$C$2:$C$190,"Leisure and creativity")</f>
        <v>0</v>
      </c>
      <c r="Q72" s="10" t="n">
        <v>8.9</v>
      </c>
      <c r="R72" s="11"/>
      <c r="S72" s="11" t="n">
        <v>5</v>
      </c>
      <c r="T72" s="11" t="n">
        <v>5</v>
      </c>
      <c r="U72" s="11" t="n">
        <v>4</v>
      </c>
      <c r="V72" s="11" t="n">
        <v>2</v>
      </c>
      <c r="W72" s="11" t="n">
        <v>179</v>
      </c>
      <c r="X72" s="16" t="n">
        <v>5493</v>
      </c>
      <c r="Y72" s="10" t="n">
        <v>1.4</v>
      </c>
      <c r="Z72" s="11" t="n">
        <f aca="false">COUNTIFS(Reflections!$A$2:$A$70,$A72)</f>
        <v>1</v>
      </c>
      <c r="AA72" s="4" t="s">
        <v>80</v>
      </c>
      <c r="AB72" s="11" t="n">
        <v>0</v>
      </c>
      <c r="AC72" s="17"/>
    </row>
    <row r="73" customFormat="false" ht="15" hidden="false" customHeight="false" outlineLevel="0" collapsed="false">
      <c r="A73" s="15" t="n">
        <v>46293</v>
      </c>
      <c r="B73" s="4" t="str">
        <f aca="false">INDEX({"Monday","Tuesday","Wednesday","Thursday","Friday","Saturday","Sunday"},WEEKDAY($A73,2))</f>
        <v>Monday</v>
      </c>
      <c r="C73" s="4" t="s">
        <v>78</v>
      </c>
      <c r="D73" s="11" t="n">
        <f aca="false">COUNTIFS(Intentions!$B$2:$B$365,$A73)</f>
        <v>4</v>
      </c>
      <c r="E73" s="11" t="n">
        <f aca="false">COUNTIFS(Intentions!$B$2:$B$365,$A73,Intentions!$H$2:$H$365,"&lt;&gt;Planned")</f>
        <v>4</v>
      </c>
      <c r="F73" s="11" t="n">
        <f aca="false">COUNTIFS(Intentions!$B$2:$B$365,$A73,Intentions!$H$2:$H$365,"Done")+COUNTIFS(Intentions!$B$2:$B$365,$A73,Intentions!$H$2:$H$365,"Partial")</f>
        <v>2</v>
      </c>
      <c r="G73" s="12" t="n">
        <f aca="false">IF(E73=0,"",SUMIFS(Intentions!$K$2:$K$365,Intentions!$B$2:$B$365,$A73)/E73)</f>
        <v>0.25</v>
      </c>
      <c r="H73" s="11" t="n">
        <f aca="false">SUMIFS(Intentions!$G$2:$G$365,Intentions!$B$2:$B$365,$A73)</f>
        <v>135</v>
      </c>
      <c r="I73" s="11" t="n">
        <f aca="false">SUMIFS(Activities!$F$2:$F$190,Activities!$B$2:$B$190,$A73)</f>
        <v>29</v>
      </c>
      <c r="J73" s="11" t="n">
        <f aca="false">SUMIFS(Activities!$F$2:$F$190,Activities!$B$2:$B$190,$A73,Activities!$C$2:$C$190,"Spiritual")</f>
        <v>29</v>
      </c>
      <c r="K73" s="11" t="n">
        <f aca="false">SUMIFS(Activities!$F$2:$F$190,Activities!$B$2:$B$190,$A73,Activities!$C$2:$C$190,"Physical")</f>
        <v>0</v>
      </c>
      <c r="L73" s="11" t="n">
        <f aca="false">SUMIFS(Activities!$F$2:$F$190,Activities!$B$2:$B$190,$A73,Activities!$C$2:$C$190,"Studies")</f>
        <v>0</v>
      </c>
      <c r="M73" s="11" t="n">
        <f aca="false">SUMIFS(Activities!$F$2:$F$190,Activities!$B$2:$B$190,$A73,Activities!$C$2:$C$190,"Professional")</f>
        <v>0</v>
      </c>
      <c r="N73" s="11" t="n">
        <f aca="false">SUMIFS(Activities!$F$2:$F$190,Activities!$B$2:$B$190,$A73,Activities!$C$2:$C$190,"Personal")</f>
        <v>0</v>
      </c>
      <c r="O73" s="11" t="n">
        <f aca="false">SUMIFS(Activities!$F$2:$F$190,Activities!$B$2:$B$190,$A73,Activities!$C$2:$C$190,"Relationships")</f>
        <v>0</v>
      </c>
      <c r="P73" s="11" t="n">
        <f aca="false">SUMIFS(Activities!$F$2:$F$190,Activities!$B$2:$B$190,$A73,Activities!$C$2:$C$190,"Leisure and creativity")</f>
        <v>0</v>
      </c>
      <c r="Q73" s="10" t="n">
        <v>7.4</v>
      </c>
      <c r="R73" s="11"/>
      <c r="S73" s="11" t="n">
        <v>3</v>
      </c>
      <c r="T73" s="11" t="n">
        <v>2</v>
      </c>
      <c r="U73" s="11" t="n">
        <v>4</v>
      </c>
      <c r="V73" s="11" t="n">
        <v>4</v>
      </c>
      <c r="W73" s="11" t="n">
        <v>255</v>
      </c>
      <c r="X73" s="16" t="n">
        <v>3241</v>
      </c>
      <c r="Y73" s="10" t="n">
        <v>2.4</v>
      </c>
      <c r="Z73" s="11" t="n">
        <f aca="false">COUNTIFS(Reflections!$A$2:$A$70,$A73)</f>
        <v>2</v>
      </c>
      <c r="AA73" s="4" t="s">
        <v>80</v>
      </c>
      <c r="AB73" s="11" t="n">
        <v>0</v>
      </c>
      <c r="AC73" s="17" t="s">
        <v>85</v>
      </c>
    </row>
    <row r="74" customFormat="false" ht="15" hidden="false" customHeight="false" outlineLevel="0" collapsed="false">
      <c r="A74" s="15" t="n">
        <v>46294</v>
      </c>
      <c r="B74" s="4" t="str">
        <f aca="false">INDEX({"Monday","Tuesday","Wednesday","Thursday","Friday","Saturday","Sunday"},WEEKDAY($A74,2))</f>
        <v>Tuesday</v>
      </c>
      <c r="C74" s="4" t="s">
        <v>78</v>
      </c>
      <c r="D74" s="11" t="n">
        <f aca="false">COUNTIFS(Intentions!$B$2:$B$365,$A74)</f>
        <v>3</v>
      </c>
      <c r="E74" s="11" t="n">
        <f aca="false">COUNTIFS(Intentions!$B$2:$B$365,$A74,Intentions!$H$2:$H$365,"&lt;&gt;Planned")</f>
        <v>3</v>
      </c>
      <c r="F74" s="11" t="n">
        <f aca="false">COUNTIFS(Intentions!$B$2:$B$365,$A74,Intentions!$H$2:$H$365,"Done")+COUNTIFS(Intentions!$B$2:$B$365,$A74,Intentions!$H$2:$H$365,"Partial")</f>
        <v>1</v>
      </c>
      <c r="G74" s="12" t="n">
        <f aca="false">IF(E74=0,"",SUMIFS(Intentions!$K$2:$K$365,Intentions!$B$2:$B$365,$A74)/E74)</f>
        <v>0.333333333333333</v>
      </c>
      <c r="H74" s="11" t="n">
        <f aca="false">SUMIFS(Intentions!$G$2:$G$365,Intentions!$B$2:$B$365,$A74)</f>
        <v>140</v>
      </c>
      <c r="I74" s="11" t="n">
        <f aca="false">SUMIFS(Activities!$F$2:$F$190,Activities!$B$2:$B$190,$A74)</f>
        <v>91</v>
      </c>
      <c r="J74" s="11" t="n">
        <f aca="false">SUMIFS(Activities!$F$2:$F$190,Activities!$B$2:$B$190,$A74,Activities!$C$2:$C$190,"Spiritual")</f>
        <v>0</v>
      </c>
      <c r="K74" s="11" t="n">
        <f aca="false">SUMIFS(Activities!$F$2:$F$190,Activities!$B$2:$B$190,$A74,Activities!$C$2:$C$190,"Physical")</f>
        <v>0</v>
      </c>
      <c r="L74" s="11" t="n">
        <f aca="false">SUMIFS(Activities!$F$2:$F$190,Activities!$B$2:$B$190,$A74,Activities!$C$2:$C$190,"Studies")</f>
        <v>0</v>
      </c>
      <c r="M74" s="11" t="n">
        <f aca="false">SUMIFS(Activities!$F$2:$F$190,Activities!$B$2:$B$190,$A74,Activities!$C$2:$C$190,"Professional")</f>
        <v>91</v>
      </c>
      <c r="N74" s="11" t="n">
        <f aca="false">SUMIFS(Activities!$F$2:$F$190,Activities!$B$2:$B$190,$A74,Activities!$C$2:$C$190,"Personal")</f>
        <v>0</v>
      </c>
      <c r="O74" s="11" t="n">
        <f aca="false">SUMIFS(Activities!$F$2:$F$190,Activities!$B$2:$B$190,$A74,Activities!$C$2:$C$190,"Relationships")</f>
        <v>0</v>
      </c>
      <c r="P74" s="11" t="n">
        <f aca="false">SUMIFS(Activities!$F$2:$F$190,Activities!$B$2:$B$190,$A74,Activities!$C$2:$C$190,"Leisure and creativity")</f>
        <v>0</v>
      </c>
      <c r="Q74" s="10" t="n">
        <v>6.6</v>
      </c>
      <c r="R74" s="11"/>
      <c r="S74" s="11" t="n">
        <v>3</v>
      </c>
      <c r="T74" s="11" t="n">
        <v>2</v>
      </c>
      <c r="U74" s="11" t="n">
        <v>3</v>
      </c>
      <c r="V74" s="11" t="n">
        <v>3</v>
      </c>
      <c r="W74" s="11" t="n">
        <v>132</v>
      </c>
      <c r="X74" s="16" t="n">
        <v>6507</v>
      </c>
      <c r="Y74" s="10" t="n">
        <v>1.6</v>
      </c>
      <c r="Z74" s="11" t="n">
        <f aca="false">COUNTIFS(Reflections!$A$2:$A$70,$A74)</f>
        <v>1</v>
      </c>
      <c r="AA74" s="4" t="s">
        <v>80</v>
      </c>
      <c r="AB74" s="11" t="n">
        <v>0</v>
      </c>
      <c r="AC74" s="17"/>
    </row>
    <row r="75" customFormat="false" ht="15" hidden="false" customHeight="false" outlineLevel="0" collapsed="false">
      <c r="A75" s="15" t="n">
        <v>46295</v>
      </c>
      <c r="B75" s="4" t="str">
        <f aca="false">INDEX({"Monday","Tuesday","Wednesday","Thursday","Friday","Saturday","Sunday"},WEEKDAY($A75,2))</f>
        <v>Wednesday</v>
      </c>
      <c r="C75" s="4" t="s">
        <v>78</v>
      </c>
      <c r="D75" s="11" t="n">
        <f aca="false">COUNTIFS(Intentions!$B$2:$B$365,$A75)</f>
        <v>4</v>
      </c>
      <c r="E75" s="11" t="n">
        <f aca="false">COUNTIFS(Intentions!$B$2:$B$365,$A75,Intentions!$H$2:$H$365,"&lt;&gt;Planned")</f>
        <v>4</v>
      </c>
      <c r="F75" s="11" t="n">
        <f aca="false">COUNTIFS(Intentions!$B$2:$B$365,$A75,Intentions!$H$2:$H$365,"Done")+COUNTIFS(Intentions!$B$2:$B$365,$A75,Intentions!$H$2:$H$365,"Partial")</f>
        <v>3</v>
      </c>
      <c r="G75" s="12" t="n">
        <f aca="false">IF(E75=0,"",SUMIFS(Intentions!$K$2:$K$365,Intentions!$B$2:$B$365,$A75)/E75)</f>
        <v>0.75</v>
      </c>
      <c r="H75" s="11" t="n">
        <f aca="false">SUMIFS(Intentions!$G$2:$G$365,Intentions!$B$2:$B$365,$A75)</f>
        <v>225</v>
      </c>
      <c r="I75" s="11" t="n">
        <f aca="false">SUMIFS(Activities!$F$2:$F$190,Activities!$B$2:$B$190,$A75)</f>
        <v>225</v>
      </c>
      <c r="J75" s="11" t="n">
        <f aca="false">SUMIFS(Activities!$F$2:$F$190,Activities!$B$2:$B$190,$A75,Activities!$C$2:$C$190,"Spiritual")</f>
        <v>0</v>
      </c>
      <c r="K75" s="11" t="n">
        <f aca="false">SUMIFS(Activities!$F$2:$F$190,Activities!$B$2:$B$190,$A75,Activities!$C$2:$C$190,"Physical")</f>
        <v>0</v>
      </c>
      <c r="L75" s="11" t="n">
        <f aca="false">SUMIFS(Activities!$F$2:$F$190,Activities!$B$2:$B$190,$A75,Activities!$C$2:$C$190,"Studies")</f>
        <v>204</v>
      </c>
      <c r="M75" s="11" t="n">
        <f aca="false">SUMIFS(Activities!$F$2:$F$190,Activities!$B$2:$B$190,$A75,Activities!$C$2:$C$190,"Professional")</f>
        <v>0</v>
      </c>
      <c r="N75" s="11" t="n">
        <f aca="false">SUMIFS(Activities!$F$2:$F$190,Activities!$B$2:$B$190,$A75,Activities!$C$2:$C$190,"Personal")</f>
        <v>21</v>
      </c>
      <c r="O75" s="11" t="n">
        <f aca="false">SUMIFS(Activities!$F$2:$F$190,Activities!$B$2:$B$190,$A75,Activities!$C$2:$C$190,"Relationships")</f>
        <v>0</v>
      </c>
      <c r="P75" s="11" t="n">
        <f aca="false">SUMIFS(Activities!$F$2:$F$190,Activities!$B$2:$B$190,$A75,Activities!$C$2:$C$190,"Leisure and creativity")</f>
        <v>0</v>
      </c>
      <c r="Q75" s="10" t="n">
        <v>4.8</v>
      </c>
      <c r="R75" s="11"/>
      <c r="S75" s="11" t="n">
        <v>1</v>
      </c>
      <c r="T75" s="11" t="n">
        <v>2</v>
      </c>
      <c r="U75" s="11" t="n">
        <v>4</v>
      </c>
      <c r="V75" s="11" t="n">
        <v>4</v>
      </c>
      <c r="W75" s="11" t="n">
        <v>357</v>
      </c>
      <c r="X75" s="16" t="n">
        <v>5776</v>
      </c>
      <c r="Y75" s="10" t="n">
        <v>2.2</v>
      </c>
      <c r="Z75" s="11" t="n">
        <f aca="false">COUNTIFS(Reflections!$A$2:$A$70,$A75)</f>
        <v>1</v>
      </c>
      <c r="AA75" s="4" t="s">
        <v>80</v>
      </c>
      <c r="AB75" s="11" t="n">
        <v>0</v>
      </c>
      <c r="AC75" s="17" t="s">
        <v>83</v>
      </c>
    </row>
    <row r="76" customFormat="false" ht="15" hidden="false" customHeight="false" outlineLevel="0" collapsed="false">
      <c r="A76" s="15" t="n">
        <v>46296</v>
      </c>
      <c r="B76" s="4" t="str">
        <f aca="false">INDEX({"Monday","Tuesday","Wednesday","Thursday","Friday","Saturday","Sunday"},WEEKDAY($A76,2))</f>
        <v>Thursday</v>
      </c>
      <c r="C76" s="4" t="s">
        <v>78</v>
      </c>
      <c r="D76" s="11" t="n">
        <f aca="false">COUNTIFS(Intentions!$B$2:$B$365,$A76)</f>
        <v>6</v>
      </c>
      <c r="E76" s="11" t="n">
        <f aca="false">COUNTIFS(Intentions!$B$2:$B$365,$A76,Intentions!$H$2:$H$365,"&lt;&gt;Planned")</f>
        <v>6</v>
      </c>
      <c r="F76" s="11" t="n">
        <f aca="false">COUNTIFS(Intentions!$B$2:$B$365,$A76,Intentions!$H$2:$H$365,"Done")+COUNTIFS(Intentions!$B$2:$B$365,$A76,Intentions!$H$2:$H$365,"Partial")</f>
        <v>4</v>
      </c>
      <c r="G76" s="12" t="n">
        <f aca="false">IF(E76=0,"",SUMIFS(Intentions!$K$2:$K$365,Intentions!$B$2:$B$365,$A76)/E76)</f>
        <v>0.666666666666667</v>
      </c>
      <c r="H76" s="11" t="n">
        <f aca="false">SUMIFS(Intentions!$G$2:$G$365,Intentions!$B$2:$B$365,$A76)</f>
        <v>210</v>
      </c>
      <c r="I76" s="11" t="n">
        <f aca="false">SUMIFS(Activities!$F$2:$F$190,Activities!$B$2:$B$190,$A76)</f>
        <v>249</v>
      </c>
      <c r="J76" s="11" t="n">
        <f aca="false">SUMIFS(Activities!$F$2:$F$190,Activities!$B$2:$B$190,$A76,Activities!$C$2:$C$190,"Spiritual")</f>
        <v>13</v>
      </c>
      <c r="K76" s="11" t="n">
        <f aca="false">SUMIFS(Activities!$F$2:$F$190,Activities!$B$2:$B$190,$A76,Activities!$C$2:$C$190,"Physical")</f>
        <v>0</v>
      </c>
      <c r="L76" s="11" t="n">
        <f aca="false">SUMIFS(Activities!$F$2:$F$190,Activities!$B$2:$B$190,$A76,Activities!$C$2:$C$190,"Studies")</f>
        <v>0</v>
      </c>
      <c r="M76" s="11" t="n">
        <f aca="false">SUMIFS(Activities!$F$2:$F$190,Activities!$B$2:$B$190,$A76,Activities!$C$2:$C$190,"Professional")</f>
        <v>64</v>
      </c>
      <c r="N76" s="11" t="n">
        <f aca="false">SUMIFS(Activities!$F$2:$F$190,Activities!$B$2:$B$190,$A76,Activities!$C$2:$C$190,"Personal")</f>
        <v>21</v>
      </c>
      <c r="O76" s="11" t="n">
        <f aca="false">SUMIFS(Activities!$F$2:$F$190,Activities!$B$2:$B$190,$A76,Activities!$C$2:$C$190,"Relationships")</f>
        <v>0</v>
      </c>
      <c r="P76" s="11" t="n">
        <f aca="false">SUMIFS(Activities!$F$2:$F$190,Activities!$B$2:$B$190,$A76,Activities!$C$2:$C$190,"Leisure and creativity")</f>
        <v>151</v>
      </c>
      <c r="Q76" s="10" t="n">
        <v>7.5</v>
      </c>
      <c r="R76" s="11"/>
      <c r="S76" s="11" t="n">
        <v>3</v>
      </c>
      <c r="T76" s="11" t="n">
        <v>3</v>
      </c>
      <c r="U76" s="11" t="n">
        <v>4</v>
      </c>
      <c r="V76" s="11" t="n">
        <v>3</v>
      </c>
      <c r="W76" s="11" t="n">
        <v>223</v>
      </c>
      <c r="X76" s="16" t="n">
        <v>11298</v>
      </c>
      <c r="Y76" s="10" t="n">
        <v>1.1</v>
      </c>
      <c r="Z76" s="11" t="n">
        <f aca="false">COUNTIFS(Reflections!$A$2:$A$70,$A76)</f>
        <v>0</v>
      </c>
      <c r="AA76" s="4" t="s">
        <v>80</v>
      </c>
      <c r="AB76" s="11" t="n">
        <v>0</v>
      </c>
      <c r="AC76" s="17"/>
    </row>
    <row r="77" customFormat="false" ht="15" hidden="false" customHeight="false" outlineLevel="0" collapsed="false">
      <c r="A77" s="15" t="n">
        <v>46297</v>
      </c>
      <c r="B77" s="4" t="str">
        <f aca="false">INDEX({"Monday","Tuesday","Wednesday","Thursday","Friday","Saturday","Sunday"},WEEKDAY($A77,2))</f>
        <v>Friday</v>
      </c>
      <c r="C77" s="4" t="s">
        <v>78</v>
      </c>
      <c r="D77" s="11" t="n">
        <f aca="false">COUNTIFS(Intentions!$B$2:$B$365,$A77)</f>
        <v>5</v>
      </c>
      <c r="E77" s="11" t="n">
        <f aca="false">COUNTIFS(Intentions!$B$2:$B$365,$A77,Intentions!$H$2:$H$365,"&lt;&gt;Planned")</f>
        <v>5</v>
      </c>
      <c r="F77" s="11" t="n">
        <f aca="false">COUNTIFS(Intentions!$B$2:$B$365,$A77,Intentions!$H$2:$H$365,"Done")+COUNTIFS(Intentions!$B$2:$B$365,$A77,Intentions!$H$2:$H$365,"Partial")</f>
        <v>4</v>
      </c>
      <c r="G77" s="12" t="n">
        <f aca="false">IF(E77=0,"",SUMIFS(Intentions!$K$2:$K$365,Intentions!$B$2:$B$365,$A77)/E77)</f>
        <v>0.8</v>
      </c>
      <c r="H77" s="11" t="n">
        <f aca="false">SUMIFS(Intentions!$G$2:$G$365,Intentions!$B$2:$B$365,$A77)</f>
        <v>235</v>
      </c>
      <c r="I77" s="11" t="n">
        <f aca="false">SUMIFS(Activities!$F$2:$F$190,Activities!$B$2:$B$190,$A77)</f>
        <v>169</v>
      </c>
      <c r="J77" s="11" t="n">
        <f aca="false">SUMIFS(Activities!$F$2:$F$190,Activities!$B$2:$B$190,$A77,Activities!$C$2:$C$190,"Spiritual")</f>
        <v>0</v>
      </c>
      <c r="K77" s="11" t="n">
        <f aca="false">SUMIFS(Activities!$F$2:$F$190,Activities!$B$2:$B$190,$A77,Activities!$C$2:$C$190,"Physical")</f>
        <v>46</v>
      </c>
      <c r="L77" s="11" t="n">
        <f aca="false">SUMIFS(Activities!$F$2:$F$190,Activities!$B$2:$B$190,$A77,Activities!$C$2:$C$190,"Studies")</f>
        <v>94</v>
      </c>
      <c r="M77" s="11" t="n">
        <f aca="false">SUMIFS(Activities!$F$2:$F$190,Activities!$B$2:$B$190,$A77,Activities!$C$2:$C$190,"Professional")</f>
        <v>0</v>
      </c>
      <c r="N77" s="11" t="n">
        <f aca="false">SUMIFS(Activities!$F$2:$F$190,Activities!$B$2:$B$190,$A77,Activities!$C$2:$C$190,"Personal")</f>
        <v>0</v>
      </c>
      <c r="O77" s="11" t="n">
        <f aca="false">SUMIFS(Activities!$F$2:$F$190,Activities!$B$2:$B$190,$A77,Activities!$C$2:$C$190,"Relationships")</f>
        <v>0</v>
      </c>
      <c r="P77" s="11" t="n">
        <f aca="false">SUMIFS(Activities!$F$2:$F$190,Activities!$B$2:$B$190,$A77,Activities!$C$2:$C$190,"Leisure and creativity")</f>
        <v>29</v>
      </c>
      <c r="Q77" s="10" t="n">
        <v>7.9</v>
      </c>
      <c r="R77" s="11"/>
      <c r="S77" s="11" t="n">
        <v>5</v>
      </c>
      <c r="T77" s="11" t="n">
        <v>5</v>
      </c>
      <c r="U77" s="11" t="n">
        <v>3</v>
      </c>
      <c r="V77" s="11" t="n">
        <v>3</v>
      </c>
      <c r="W77" s="11" t="n">
        <v>258</v>
      </c>
      <c r="X77" s="16" t="n">
        <v>7137</v>
      </c>
      <c r="Y77" s="10" t="n">
        <v>1.9</v>
      </c>
      <c r="Z77" s="11" t="n">
        <f aca="false">COUNTIFS(Reflections!$A$2:$A$70,$A77)</f>
        <v>1</v>
      </c>
      <c r="AA77" s="4" t="s">
        <v>80</v>
      </c>
      <c r="AB77" s="11" t="n">
        <v>0</v>
      </c>
      <c r="AC77" s="17"/>
    </row>
    <row r="78" customFormat="false" ht="15" hidden="false" customHeight="false" outlineLevel="0" collapsed="false">
      <c r="A78" s="15" t="n">
        <v>46298</v>
      </c>
      <c r="B78" s="4" t="str">
        <f aca="false">INDEX({"Monday","Tuesday","Wednesday","Thursday","Friday","Saturday","Sunday"},WEEKDAY($A78,2))</f>
        <v>Saturday</v>
      </c>
      <c r="C78" s="4" t="s">
        <v>78</v>
      </c>
      <c r="D78" s="11" t="n">
        <f aca="false">COUNTIFS(Intentions!$B$2:$B$365,$A78)</f>
        <v>7</v>
      </c>
      <c r="E78" s="11" t="n">
        <f aca="false">COUNTIFS(Intentions!$B$2:$B$365,$A78,Intentions!$H$2:$H$365,"&lt;&gt;Planned")</f>
        <v>7</v>
      </c>
      <c r="F78" s="11" t="n">
        <f aca="false">COUNTIFS(Intentions!$B$2:$B$365,$A78,Intentions!$H$2:$H$365,"Done")+COUNTIFS(Intentions!$B$2:$B$365,$A78,Intentions!$H$2:$H$365,"Partial")</f>
        <v>1</v>
      </c>
      <c r="G78" s="12" t="n">
        <f aca="false">IF(E78=0,"",SUMIFS(Intentions!$K$2:$K$365,Intentions!$B$2:$B$365,$A78)/E78)</f>
        <v>0.142857142857143</v>
      </c>
      <c r="H78" s="11" t="n">
        <f aca="false">SUMIFS(Intentions!$G$2:$G$365,Intentions!$B$2:$B$365,$A78)</f>
        <v>290</v>
      </c>
      <c r="I78" s="11" t="n">
        <f aca="false">SUMIFS(Activities!$F$2:$F$190,Activities!$B$2:$B$190,$A78)</f>
        <v>133</v>
      </c>
      <c r="J78" s="11" t="n">
        <f aca="false">SUMIFS(Activities!$F$2:$F$190,Activities!$B$2:$B$190,$A78,Activities!$C$2:$C$190,"Spiritual")</f>
        <v>13</v>
      </c>
      <c r="K78" s="11" t="n">
        <f aca="false">SUMIFS(Activities!$F$2:$F$190,Activities!$B$2:$B$190,$A78,Activities!$C$2:$C$190,"Physical")</f>
        <v>0</v>
      </c>
      <c r="L78" s="11" t="n">
        <f aca="false">SUMIFS(Activities!$F$2:$F$190,Activities!$B$2:$B$190,$A78,Activities!$C$2:$C$190,"Studies")</f>
        <v>0</v>
      </c>
      <c r="M78" s="11" t="n">
        <f aca="false">SUMIFS(Activities!$F$2:$F$190,Activities!$B$2:$B$190,$A78,Activities!$C$2:$C$190,"Professional")</f>
        <v>0</v>
      </c>
      <c r="N78" s="11" t="n">
        <f aca="false">SUMIFS(Activities!$F$2:$F$190,Activities!$B$2:$B$190,$A78,Activities!$C$2:$C$190,"Personal")</f>
        <v>0</v>
      </c>
      <c r="O78" s="11" t="n">
        <f aca="false">SUMIFS(Activities!$F$2:$F$190,Activities!$B$2:$B$190,$A78,Activities!$C$2:$C$190,"Relationships")</f>
        <v>0</v>
      </c>
      <c r="P78" s="11" t="n">
        <f aca="false">SUMIFS(Activities!$F$2:$F$190,Activities!$B$2:$B$190,$A78,Activities!$C$2:$C$190,"Leisure and creativity")</f>
        <v>120</v>
      </c>
      <c r="Q78" s="10" t="n">
        <v>6.7</v>
      </c>
      <c r="R78" s="11"/>
      <c r="S78" s="11" t="n">
        <v>3</v>
      </c>
      <c r="T78" s="11" t="n">
        <v>3</v>
      </c>
      <c r="U78" s="11" t="n">
        <v>2</v>
      </c>
      <c r="V78" s="11" t="n">
        <v>3</v>
      </c>
      <c r="W78" s="11" t="n">
        <v>248</v>
      </c>
      <c r="X78" s="16" t="n">
        <v>11436</v>
      </c>
      <c r="Y78" s="10" t="n">
        <v>1.2</v>
      </c>
      <c r="Z78" s="11" t="n">
        <f aca="false">COUNTIFS(Reflections!$A$2:$A$70,$A78)</f>
        <v>1</v>
      </c>
      <c r="AA78" s="4" t="s">
        <v>80</v>
      </c>
      <c r="AB78" s="11" t="n">
        <v>0</v>
      </c>
      <c r="AC78" s="17"/>
    </row>
    <row r="79" customFormat="false" ht="15" hidden="false" customHeight="false" outlineLevel="0" collapsed="false">
      <c r="A79" s="15" t="n">
        <v>46299</v>
      </c>
      <c r="B79" s="4" t="str">
        <f aca="false">INDEX({"Monday","Tuesday","Wednesday","Thursday","Friday","Saturday","Sunday"},WEEKDAY($A79,2))</f>
        <v>Sunday</v>
      </c>
      <c r="C79" s="4" t="s">
        <v>78</v>
      </c>
      <c r="D79" s="11" t="n">
        <f aca="false">COUNTIFS(Intentions!$B$2:$B$365,$A79)</f>
        <v>5</v>
      </c>
      <c r="E79" s="11" t="n">
        <f aca="false">COUNTIFS(Intentions!$B$2:$B$365,$A79,Intentions!$H$2:$H$365,"&lt;&gt;Planned")</f>
        <v>5</v>
      </c>
      <c r="F79" s="11" t="n">
        <f aca="false">COUNTIFS(Intentions!$B$2:$B$365,$A79,Intentions!$H$2:$H$365,"Done")+COUNTIFS(Intentions!$B$2:$B$365,$A79,Intentions!$H$2:$H$365,"Partial")</f>
        <v>2</v>
      </c>
      <c r="G79" s="12" t="n">
        <f aca="false">IF(E79=0,"",SUMIFS(Intentions!$K$2:$K$365,Intentions!$B$2:$B$365,$A79)/E79)</f>
        <v>0.3</v>
      </c>
      <c r="H79" s="11" t="n">
        <f aca="false">SUMIFS(Intentions!$G$2:$G$365,Intentions!$B$2:$B$365,$A79)</f>
        <v>210</v>
      </c>
      <c r="I79" s="11" t="n">
        <f aca="false">SUMIFS(Activities!$F$2:$F$190,Activities!$B$2:$B$190,$A79)</f>
        <v>52</v>
      </c>
      <c r="J79" s="11" t="n">
        <f aca="false">SUMIFS(Activities!$F$2:$F$190,Activities!$B$2:$B$190,$A79,Activities!$C$2:$C$190,"Spiritual")</f>
        <v>0</v>
      </c>
      <c r="K79" s="11" t="n">
        <f aca="false">SUMIFS(Activities!$F$2:$F$190,Activities!$B$2:$B$190,$A79,Activities!$C$2:$C$190,"Physical")</f>
        <v>0</v>
      </c>
      <c r="L79" s="11" t="n">
        <f aca="false">SUMIFS(Activities!$F$2:$F$190,Activities!$B$2:$B$190,$A79,Activities!$C$2:$C$190,"Studies")</f>
        <v>0</v>
      </c>
      <c r="M79" s="11" t="n">
        <f aca="false">SUMIFS(Activities!$F$2:$F$190,Activities!$B$2:$B$190,$A79,Activities!$C$2:$C$190,"Professional")</f>
        <v>30</v>
      </c>
      <c r="N79" s="11" t="n">
        <f aca="false">SUMIFS(Activities!$F$2:$F$190,Activities!$B$2:$B$190,$A79,Activities!$C$2:$C$190,"Personal")</f>
        <v>0</v>
      </c>
      <c r="O79" s="11" t="n">
        <f aca="false">SUMIFS(Activities!$F$2:$F$190,Activities!$B$2:$B$190,$A79,Activities!$C$2:$C$190,"Relationships")</f>
        <v>22</v>
      </c>
      <c r="P79" s="11" t="n">
        <f aca="false">SUMIFS(Activities!$F$2:$F$190,Activities!$B$2:$B$190,$A79,Activities!$C$2:$C$190,"Leisure and creativity")</f>
        <v>0</v>
      </c>
      <c r="Q79" s="10" t="n">
        <v>8.2</v>
      </c>
      <c r="R79" s="11"/>
      <c r="S79" s="11" t="n">
        <v>4</v>
      </c>
      <c r="T79" s="11" t="n">
        <v>4</v>
      </c>
      <c r="U79" s="11" t="n">
        <v>3</v>
      </c>
      <c r="V79" s="11" t="n">
        <v>3</v>
      </c>
      <c r="W79" s="11" t="n">
        <v>286</v>
      </c>
      <c r="X79" s="16" t="n">
        <v>7672</v>
      </c>
      <c r="Y79" s="10" t="n">
        <v>2.3</v>
      </c>
      <c r="Z79" s="11" t="n">
        <f aca="false">COUNTIFS(Reflections!$A$2:$A$70,$A79)</f>
        <v>0</v>
      </c>
      <c r="AA79" s="4" t="s">
        <v>80</v>
      </c>
      <c r="AB79" s="11" t="n">
        <v>0</v>
      </c>
      <c r="AC79" s="17"/>
    </row>
    <row r="80" customFormat="false" ht="15" hidden="false" customHeight="false" outlineLevel="0" collapsed="false">
      <c r="A80" s="15" t="n">
        <v>46300</v>
      </c>
      <c r="B80" s="4" t="str">
        <f aca="false">INDEX({"Monday","Tuesday","Wednesday","Thursday","Friday","Saturday","Sunday"},WEEKDAY($A80,2))</f>
        <v>Monday</v>
      </c>
      <c r="C80" s="4" t="s">
        <v>78</v>
      </c>
      <c r="D80" s="11" t="n">
        <f aca="false">COUNTIFS(Intentions!$B$2:$B$365,$A80)</f>
        <v>5</v>
      </c>
      <c r="E80" s="11" t="n">
        <f aca="false">COUNTIFS(Intentions!$B$2:$B$365,$A80,Intentions!$H$2:$H$365,"&lt;&gt;Planned")</f>
        <v>5</v>
      </c>
      <c r="F80" s="11" t="n">
        <f aca="false">COUNTIFS(Intentions!$B$2:$B$365,$A80,Intentions!$H$2:$H$365,"Done")+COUNTIFS(Intentions!$B$2:$B$365,$A80,Intentions!$H$2:$H$365,"Partial")</f>
        <v>2</v>
      </c>
      <c r="G80" s="12" t="n">
        <f aca="false">IF(E80=0,"",SUMIFS(Intentions!$K$2:$K$365,Intentions!$B$2:$B$365,$A80)/E80)</f>
        <v>0.4</v>
      </c>
      <c r="H80" s="11" t="n">
        <f aca="false">SUMIFS(Intentions!$G$2:$G$365,Intentions!$B$2:$B$365,$A80)</f>
        <v>200</v>
      </c>
      <c r="I80" s="11" t="n">
        <f aca="false">SUMIFS(Activities!$F$2:$F$190,Activities!$B$2:$B$190,$A80)</f>
        <v>45</v>
      </c>
      <c r="J80" s="11" t="n">
        <f aca="false">SUMIFS(Activities!$F$2:$F$190,Activities!$B$2:$B$190,$A80,Activities!$C$2:$C$190,"Spiritual")</f>
        <v>24</v>
      </c>
      <c r="K80" s="11" t="n">
        <f aca="false">SUMIFS(Activities!$F$2:$F$190,Activities!$B$2:$B$190,$A80,Activities!$C$2:$C$190,"Physical")</f>
        <v>21</v>
      </c>
      <c r="L80" s="11" t="n">
        <f aca="false">SUMIFS(Activities!$F$2:$F$190,Activities!$B$2:$B$190,$A80,Activities!$C$2:$C$190,"Studies")</f>
        <v>0</v>
      </c>
      <c r="M80" s="11" t="n">
        <f aca="false">SUMIFS(Activities!$F$2:$F$190,Activities!$B$2:$B$190,$A80,Activities!$C$2:$C$190,"Professional")</f>
        <v>0</v>
      </c>
      <c r="N80" s="11" t="n">
        <f aca="false">SUMIFS(Activities!$F$2:$F$190,Activities!$B$2:$B$190,$A80,Activities!$C$2:$C$190,"Personal")</f>
        <v>0</v>
      </c>
      <c r="O80" s="11" t="n">
        <f aca="false">SUMIFS(Activities!$F$2:$F$190,Activities!$B$2:$B$190,$A80,Activities!$C$2:$C$190,"Relationships")</f>
        <v>0</v>
      </c>
      <c r="P80" s="11" t="n">
        <f aca="false">SUMIFS(Activities!$F$2:$F$190,Activities!$B$2:$B$190,$A80,Activities!$C$2:$C$190,"Leisure and creativity")</f>
        <v>0</v>
      </c>
      <c r="Q80" s="10" t="n">
        <v>6.1</v>
      </c>
      <c r="R80" s="11"/>
      <c r="S80" s="11" t="n">
        <v>1</v>
      </c>
      <c r="T80" s="11" t="n">
        <v>1</v>
      </c>
      <c r="U80" s="11" t="n">
        <v>3</v>
      </c>
      <c r="V80" s="11" t="n">
        <v>4</v>
      </c>
      <c r="W80" s="11" t="n">
        <v>199</v>
      </c>
      <c r="X80" s="16" t="n">
        <v>8003</v>
      </c>
      <c r="Y80" s="10" t="n">
        <v>2.4</v>
      </c>
      <c r="Z80" s="11" t="n">
        <f aca="false">COUNTIFS(Reflections!$A$2:$A$70,$A80)</f>
        <v>0</v>
      </c>
      <c r="AA80" s="4" t="s">
        <v>80</v>
      </c>
      <c r="AB80" s="11" t="n">
        <v>0</v>
      </c>
      <c r="AC80" s="17"/>
    </row>
    <row r="81" customFormat="false" ht="15" hidden="false" customHeight="false" outlineLevel="0" collapsed="false">
      <c r="A81" s="15" t="n">
        <v>46301</v>
      </c>
      <c r="B81" s="4" t="str">
        <f aca="false">INDEX({"Monday","Tuesday","Wednesday","Thursday","Friday","Saturday","Sunday"},WEEKDAY($A81,2))</f>
        <v>Tuesday</v>
      </c>
      <c r="C81" s="4" t="s">
        <v>78</v>
      </c>
      <c r="D81" s="11" t="n">
        <f aca="false">COUNTIFS(Intentions!$B$2:$B$365,$A81)</f>
        <v>4</v>
      </c>
      <c r="E81" s="11" t="n">
        <f aca="false">COUNTIFS(Intentions!$B$2:$B$365,$A81,Intentions!$H$2:$H$365,"&lt;&gt;Planned")</f>
        <v>4</v>
      </c>
      <c r="F81" s="11" t="n">
        <f aca="false">COUNTIFS(Intentions!$B$2:$B$365,$A81,Intentions!$H$2:$H$365,"Done")+COUNTIFS(Intentions!$B$2:$B$365,$A81,Intentions!$H$2:$H$365,"Partial")</f>
        <v>2</v>
      </c>
      <c r="G81" s="12" t="n">
        <f aca="false">IF(E81=0,"",SUMIFS(Intentions!$K$2:$K$365,Intentions!$B$2:$B$365,$A81)/E81)</f>
        <v>0.375</v>
      </c>
      <c r="H81" s="11" t="n">
        <f aca="false">SUMIFS(Intentions!$G$2:$G$365,Intentions!$B$2:$B$365,$A81)</f>
        <v>215</v>
      </c>
      <c r="I81" s="11" t="n">
        <f aca="false">SUMIFS(Activities!$F$2:$F$190,Activities!$B$2:$B$190,$A81)</f>
        <v>198</v>
      </c>
      <c r="J81" s="11" t="n">
        <f aca="false">SUMIFS(Activities!$F$2:$F$190,Activities!$B$2:$B$190,$A81,Activities!$C$2:$C$190,"Spiritual")</f>
        <v>13</v>
      </c>
      <c r="K81" s="11" t="n">
        <f aca="false">SUMIFS(Activities!$F$2:$F$190,Activities!$B$2:$B$190,$A81,Activities!$C$2:$C$190,"Physical")</f>
        <v>0</v>
      </c>
      <c r="L81" s="11" t="n">
        <f aca="false">SUMIFS(Activities!$F$2:$F$190,Activities!$B$2:$B$190,$A81,Activities!$C$2:$C$190,"Studies")</f>
        <v>185</v>
      </c>
      <c r="M81" s="11" t="n">
        <f aca="false">SUMIFS(Activities!$F$2:$F$190,Activities!$B$2:$B$190,$A81,Activities!$C$2:$C$190,"Professional")</f>
        <v>0</v>
      </c>
      <c r="N81" s="11" t="n">
        <f aca="false">SUMIFS(Activities!$F$2:$F$190,Activities!$B$2:$B$190,$A81,Activities!$C$2:$C$190,"Personal")</f>
        <v>0</v>
      </c>
      <c r="O81" s="11" t="n">
        <f aca="false">SUMIFS(Activities!$F$2:$F$190,Activities!$B$2:$B$190,$A81,Activities!$C$2:$C$190,"Relationships")</f>
        <v>0</v>
      </c>
      <c r="P81" s="11" t="n">
        <f aca="false">SUMIFS(Activities!$F$2:$F$190,Activities!$B$2:$B$190,$A81,Activities!$C$2:$C$190,"Leisure and creativity")</f>
        <v>0</v>
      </c>
      <c r="Q81" s="10" t="n">
        <v>7.9</v>
      </c>
      <c r="R81" s="11"/>
      <c r="S81" s="11" t="n">
        <v>4</v>
      </c>
      <c r="T81" s="11" t="n">
        <v>5</v>
      </c>
      <c r="U81" s="11" t="n">
        <v>4</v>
      </c>
      <c r="V81" s="11" t="n">
        <v>2</v>
      </c>
      <c r="W81" s="11" t="n">
        <v>196</v>
      </c>
      <c r="X81" s="16" t="n">
        <v>5124</v>
      </c>
      <c r="Y81" s="10" t="n">
        <v>2.5</v>
      </c>
      <c r="Z81" s="11" t="n">
        <f aca="false">COUNTIFS(Reflections!$A$2:$A$70,$A81)</f>
        <v>0</v>
      </c>
      <c r="AA81" s="4" t="s">
        <v>80</v>
      </c>
      <c r="AB81" s="11" t="n">
        <v>0</v>
      </c>
      <c r="AC81" s="17"/>
    </row>
    <row r="82" customFormat="false" ht="15" hidden="false" customHeight="false" outlineLevel="0" collapsed="false">
      <c r="A82" s="15" t="n">
        <v>46302</v>
      </c>
      <c r="B82" s="4" t="str">
        <f aca="false">INDEX({"Monday","Tuesday","Wednesday","Thursday","Friday","Saturday","Sunday"},WEEKDAY($A82,2))</f>
        <v>Wednesday</v>
      </c>
      <c r="C82" s="4" t="s">
        <v>78</v>
      </c>
      <c r="D82" s="11" t="n">
        <f aca="false">COUNTIFS(Intentions!$B$2:$B$365,$A82)</f>
        <v>6</v>
      </c>
      <c r="E82" s="11" t="n">
        <f aca="false">COUNTIFS(Intentions!$B$2:$B$365,$A82,Intentions!$H$2:$H$365,"&lt;&gt;Planned")</f>
        <v>6</v>
      </c>
      <c r="F82" s="11" t="n">
        <f aca="false">COUNTIFS(Intentions!$B$2:$B$365,$A82,Intentions!$H$2:$H$365,"Done")+COUNTIFS(Intentions!$B$2:$B$365,$A82,Intentions!$H$2:$H$365,"Partial")</f>
        <v>3</v>
      </c>
      <c r="G82" s="12" t="n">
        <f aca="false">IF(E82=0,"",SUMIFS(Intentions!$K$2:$K$365,Intentions!$B$2:$B$365,$A82)/E82)</f>
        <v>0.5</v>
      </c>
      <c r="H82" s="11" t="n">
        <f aca="false">SUMIFS(Intentions!$G$2:$G$365,Intentions!$B$2:$B$365,$A82)</f>
        <v>255</v>
      </c>
      <c r="I82" s="11" t="n">
        <f aca="false">SUMIFS(Activities!$F$2:$F$190,Activities!$B$2:$B$190,$A82)</f>
        <v>187</v>
      </c>
      <c r="J82" s="11" t="n">
        <f aca="false">SUMIFS(Activities!$F$2:$F$190,Activities!$B$2:$B$190,$A82,Activities!$C$2:$C$190,"Spiritual")</f>
        <v>43</v>
      </c>
      <c r="K82" s="11" t="n">
        <f aca="false">SUMIFS(Activities!$F$2:$F$190,Activities!$B$2:$B$190,$A82,Activities!$C$2:$C$190,"Physical")</f>
        <v>0</v>
      </c>
      <c r="L82" s="11" t="n">
        <f aca="false">SUMIFS(Activities!$F$2:$F$190,Activities!$B$2:$B$190,$A82,Activities!$C$2:$C$190,"Studies")</f>
        <v>144</v>
      </c>
      <c r="M82" s="11" t="n">
        <f aca="false">SUMIFS(Activities!$F$2:$F$190,Activities!$B$2:$B$190,$A82,Activities!$C$2:$C$190,"Professional")</f>
        <v>0</v>
      </c>
      <c r="N82" s="11" t="n">
        <f aca="false">SUMIFS(Activities!$F$2:$F$190,Activities!$B$2:$B$190,$A82,Activities!$C$2:$C$190,"Personal")</f>
        <v>0</v>
      </c>
      <c r="O82" s="11" t="n">
        <f aca="false">SUMIFS(Activities!$F$2:$F$190,Activities!$B$2:$B$190,$A82,Activities!$C$2:$C$190,"Relationships")</f>
        <v>0</v>
      </c>
      <c r="P82" s="11" t="n">
        <f aca="false">SUMIFS(Activities!$F$2:$F$190,Activities!$B$2:$B$190,$A82,Activities!$C$2:$C$190,"Leisure and creativity")</f>
        <v>0</v>
      </c>
      <c r="Q82" s="10" t="n">
        <v>6</v>
      </c>
      <c r="R82" s="11"/>
      <c r="S82" s="11" t="n">
        <v>3</v>
      </c>
      <c r="T82" s="11" t="n">
        <v>3</v>
      </c>
      <c r="U82" s="11" t="n">
        <v>2</v>
      </c>
      <c r="V82" s="11" t="n">
        <v>3</v>
      </c>
      <c r="W82" s="11" t="n">
        <v>235</v>
      </c>
      <c r="X82" s="16" t="n">
        <v>6525</v>
      </c>
      <c r="Y82" s="10" t="n">
        <v>2.1</v>
      </c>
      <c r="Z82" s="11" t="n">
        <f aca="false">COUNTIFS(Reflections!$A$2:$A$70,$A82)</f>
        <v>0</v>
      </c>
      <c r="AA82" s="4" t="s">
        <v>80</v>
      </c>
      <c r="AB82" s="11" t="n">
        <v>0</v>
      </c>
      <c r="AC82" s="17"/>
    </row>
    <row r="83" customFormat="false" ht="15" hidden="false" customHeight="false" outlineLevel="0" collapsed="false">
      <c r="A83" s="15" t="n">
        <v>46303</v>
      </c>
      <c r="B83" s="4" t="str">
        <f aca="false">INDEX({"Monday","Tuesday","Wednesday","Thursday","Friday","Saturday","Sunday"},WEEKDAY($A83,2))</f>
        <v>Thursday</v>
      </c>
      <c r="C83" s="4" t="s">
        <v>78</v>
      </c>
      <c r="D83" s="11" t="n">
        <f aca="false">COUNTIFS(Intentions!$B$2:$B$365,$A83)</f>
        <v>3</v>
      </c>
      <c r="E83" s="11" t="n">
        <f aca="false">COUNTIFS(Intentions!$B$2:$B$365,$A83,Intentions!$H$2:$H$365,"&lt;&gt;Planned")</f>
        <v>3</v>
      </c>
      <c r="F83" s="11" t="n">
        <f aca="false">COUNTIFS(Intentions!$B$2:$B$365,$A83,Intentions!$H$2:$H$365,"Done")+COUNTIFS(Intentions!$B$2:$B$365,$A83,Intentions!$H$2:$H$365,"Partial")</f>
        <v>1</v>
      </c>
      <c r="G83" s="12" t="n">
        <f aca="false">IF(E83=0,"",SUMIFS(Intentions!$K$2:$K$365,Intentions!$B$2:$B$365,$A83)/E83)</f>
        <v>0.333333333333333</v>
      </c>
      <c r="H83" s="11" t="n">
        <f aca="false">SUMIFS(Intentions!$G$2:$G$365,Intentions!$B$2:$B$365,$A83)</f>
        <v>105</v>
      </c>
      <c r="I83" s="11" t="n">
        <f aca="false">SUMIFS(Activities!$F$2:$F$190,Activities!$B$2:$B$190,$A83)</f>
        <v>71</v>
      </c>
      <c r="J83" s="11" t="n">
        <f aca="false">SUMIFS(Activities!$F$2:$F$190,Activities!$B$2:$B$190,$A83,Activities!$C$2:$C$190,"Spiritual")</f>
        <v>0</v>
      </c>
      <c r="K83" s="11" t="n">
        <f aca="false">SUMIFS(Activities!$F$2:$F$190,Activities!$B$2:$B$190,$A83,Activities!$C$2:$C$190,"Physical")</f>
        <v>0</v>
      </c>
      <c r="L83" s="11" t="n">
        <f aca="false">SUMIFS(Activities!$F$2:$F$190,Activities!$B$2:$B$190,$A83,Activities!$C$2:$C$190,"Studies")</f>
        <v>71</v>
      </c>
      <c r="M83" s="11" t="n">
        <f aca="false">SUMIFS(Activities!$F$2:$F$190,Activities!$B$2:$B$190,$A83,Activities!$C$2:$C$190,"Professional")</f>
        <v>0</v>
      </c>
      <c r="N83" s="11" t="n">
        <f aca="false">SUMIFS(Activities!$F$2:$F$190,Activities!$B$2:$B$190,$A83,Activities!$C$2:$C$190,"Personal")</f>
        <v>0</v>
      </c>
      <c r="O83" s="11" t="n">
        <f aca="false">SUMIFS(Activities!$F$2:$F$190,Activities!$B$2:$B$190,$A83,Activities!$C$2:$C$190,"Relationships")</f>
        <v>0</v>
      </c>
      <c r="P83" s="11" t="n">
        <f aca="false">SUMIFS(Activities!$F$2:$F$190,Activities!$B$2:$B$190,$A83,Activities!$C$2:$C$190,"Leisure and creativity")</f>
        <v>0</v>
      </c>
      <c r="Q83" s="10" t="n">
        <v>5</v>
      </c>
      <c r="R83" s="11"/>
      <c r="S83" s="11" t="n">
        <v>2</v>
      </c>
      <c r="T83" s="11" t="n">
        <v>2</v>
      </c>
      <c r="U83" s="11" t="n">
        <v>3</v>
      </c>
      <c r="V83" s="11" t="n">
        <v>3</v>
      </c>
      <c r="W83" s="11" t="n">
        <v>287</v>
      </c>
      <c r="X83" s="16" t="n">
        <v>4230</v>
      </c>
      <c r="Y83" s="10" t="n">
        <v>0.9</v>
      </c>
      <c r="Z83" s="11" t="n">
        <f aca="false">COUNTIFS(Reflections!$A$2:$A$70,$A83)</f>
        <v>0</v>
      </c>
      <c r="AA83" s="4" t="s">
        <v>80</v>
      </c>
      <c r="AB83" s="11" t="n">
        <v>0</v>
      </c>
      <c r="AC83" s="17"/>
    </row>
    <row r="84" customFormat="false" ht="15" hidden="false" customHeight="false" outlineLevel="0" collapsed="false">
      <c r="A84" s="15" t="n">
        <v>46304</v>
      </c>
      <c r="B84" s="4" t="str">
        <f aca="false">INDEX({"Monday","Tuesday","Wednesday","Thursday","Friday","Saturday","Sunday"},WEEKDAY($A84,2))</f>
        <v>Friday</v>
      </c>
      <c r="C84" s="4" t="s">
        <v>81</v>
      </c>
      <c r="D84" s="11" t="n">
        <f aca="false">COUNTIFS(Intentions!$B$2:$B$365,$A84)</f>
        <v>0</v>
      </c>
      <c r="E84" s="11" t="n">
        <f aca="false">COUNTIFS(Intentions!$B$2:$B$365,$A84,Intentions!$H$2:$H$365,"&lt;&gt;Planned")</f>
        <v>0</v>
      </c>
      <c r="F84" s="11" t="n">
        <f aca="false">COUNTIFS(Intentions!$B$2:$B$365,$A84,Intentions!$H$2:$H$365,"Done")+COUNTIFS(Intentions!$B$2:$B$365,$A84,Intentions!$H$2:$H$365,"Partial")</f>
        <v>0</v>
      </c>
      <c r="G84" s="12" t="str">
        <f aca="false">IF(E84=0,"",SUMIFS(Intentions!$K$2:$K$365,Intentions!$B$2:$B$365,$A84)/E84)</f>
        <v/>
      </c>
      <c r="H84" s="11" t="n">
        <f aca="false">SUMIFS(Intentions!$G$2:$G$365,Intentions!$B$2:$B$365,$A84)</f>
        <v>0</v>
      </c>
      <c r="I84" s="11" t="n">
        <f aca="false">SUMIFS(Activities!$F$2:$F$190,Activities!$B$2:$B$190,$A84)</f>
        <v>0</v>
      </c>
      <c r="J84" s="11" t="n">
        <f aca="false">SUMIFS(Activities!$F$2:$F$190,Activities!$B$2:$B$190,$A84,Activities!$C$2:$C$190,"Spiritual")</f>
        <v>0</v>
      </c>
      <c r="K84" s="11" t="n">
        <f aca="false">SUMIFS(Activities!$F$2:$F$190,Activities!$B$2:$B$190,$A84,Activities!$C$2:$C$190,"Physical")</f>
        <v>0</v>
      </c>
      <c r="L84" s="11" t="n">
        <f aca="false">SUMIFS(Activities!$F$2:$F$190,Activities!$B$2:$B$190,$A84,Activities!$C$2:$C$190,"Studies")</f>
        <v>0</v>
      </c>
      <c r="M84" s="11" t="n">
        <f aca="false">SUMIFS(Activities!$F$2:$F$190,Activities!$B$2:$B$190,$A84,Activities!$C$2:$C$190,"Professional")</f>
        <v>0</v>
      </c>
      <c r="N84" s="11" t="n">
        <f aca="false">SUMIFS(Activities!$F$2:$F$190,Activities!$B$2:$B$190,$A84,Activities!$C$2:$C$190,"Personal")</f>
        <v>0</v>
      </c>
      <c r="O84" s="11" t="n">
        <f aca="false">SUMIFS(Activities!$F$2:$F$190,Activities!$B$2:$B$190,$A84,Activities!$C$2:$C$190,"Relationships")</f>
        <v>0</v>
      </c>
      <c r="P84" s="11" t="n">
        <f aca="false">SUMIFS(Activities!$F$2:$F$190,Activities!$B$2:$B$190,$A84,Activities!$C$2:$C$190,"Leisure and creativity")</f>
        <v>0</v>
      </c>
      <c r="Q84" s="10"/>
      <c r="R84" s="11"/>
      <c r="S84" s="11"/>
      <c r="T84" s="11"/>
      <c r="U84" s="11"/>
      <c r="V84" s="11"/>
      <c r="W84" s="11"/>
      <c r="X84" s="16"/>
      <c r="Y84" s="10"/>
      <c r="Z84" s="11" t="n">
        <f aca="false">COUNTIFS(Reflections!$A$2:$A$70,$A84)</f>
        <v>0</v>
      </c>
      <c r="AA84" s="4" t="s">
        <v>82</v>
      </c>
      <c r="AB84" s="11"/>
      <c r="AC84" s="17"/>
    </row>
    <row r="85" customFormat="false" ht="15" hidden="false" customHeight="false" outlineLevel="0" collapsed="false">
      <c r="A85" s="15" t="n">
        <v>46305</v>
      </c>
      <c r="B85" s="4" t="str">
        <f aca="false">INDEX({"Monday","Tuesday","Wednesday","Thursday","Friday","Saturday","Sunday"},WEEKDAY($A85,2))</f>
        <v>Saturday</v>
      </c>
      <c r="C85" s="4" t="s">
        <v>78</v>
      </c>
      <c r="D85" s="11" t="n">
        <f aca="false">COUNTIFS(Intentions!$B$2:$B$365,$A85)</f>
        <v>3</v>
      </c>
      <c r="E85" s="11" t="n">
        <f aca="false">COUNTIFS(Intentions!$B$2:$B$365,$A85,Intentions!$H$2:$H$365,"&lt;&gt;Planned")</f>
        <v>3</v>
      </c>
      <c r="F85" s="11" t="n">
        <f aca="false">COUNTIFS(Intentions!$B$2:$B$365,$A85,Intentions!$H$2:$H$365,"Done")+COUNTIFS(Intentions!$B$2:$B$365,$A85,Intentions!$H$2:$H$365,"Partial")</f>
        <v>2</v>
      </c>
      <c r="G85" s="12" t="n">
        <f aca="false">IF(E85=0,"",SUMIFS(Intentions!$K$2:$K$365,Intentions!$B$2:$B$365,$A85)/E85)</f>
        <v>0.666666666666667</v>
      </c>
      <c r="H85" s="11" t="n">
        <f aca="false">SUMIFS(Intentions!$G$2:$G$365,Intentions!$B$2:$B$365,$A85)</f>
        <v>195</v>
      </c>
      <c r="I85" s="11" t="n">
        <f aca="false">SUMIFS(Activities!$F$2:$F$190,Activities!$B$2:$B$190,$A85)</f>
        <v>213</v>
      </c>
      <c r="J85" s="11" t="n">
        <f aca="false">SUMIFS(Activities!$F$2:$F$190,Activities!$B$2:$B$190,$A85,Activities!$C$2:$C$190,"Spiritual")</f>
        <v>16</v>
      </c>
      <c r="K85" s="11" t="n">
        <f aca="false">SUMIFS(Activities!$F$2:$F$190,Activities!$B$2:$B$190,$A85,Activities!$C$2:$C$190,"Physical")</f>
        <v>0</v>
      </c>
      <c r="L85" s="11" t="n">
        <f aca="false">SUMIFS(Activities!$F$2:$F$190,Activities!$B$2:$B$190,$A85,Activities!$C$2:$C$190,"Studies")</f>
        <v>197</v>
      </c>
      <c r="M85" s="11" t="n">
        <f aca="false">SUMIFS(Activities!$F$2:$F$190,Activities!$B$2:$B$190,$A85,Activities!$C$2:$C$190,"Professional")</f>
        <v>0</v>
      </c>
      <c r="N85" s="11" t="n">
        <f aca="false">SUMIFS(Activities!$F$2:$F$190,Activities!$B$2:$B$190,$A85,Activities!$C$2:$C$190,"Personal")</f>
        <v>0</v>
      </c>
      <c r="O85" s="11" t="n">
        <f aca="false">SUMIFS(Activities!$F$2:$F$190,Activities!$B$2:$B$190,$A85,Activities!$C$2:$C$190,"Relationships")</f>
        <v>0</v>
      </c>
      <c r="P85" s="11" t="n">
        <f aca="false">SUMIFS(Activities!$F$2:$F$190,Activities!$B$2:$B$190,$A85,Activities!$C$2:$C$190,"Leisure and creativity")</f>
        <v>0</v>
      </c>
      <c r="Q85" s="10" t="n">
        <v>5.5</v>
      </c>
      <c r="R85" s="11"/>
      <c r="S85" s="11" t="n">
        <v>1</v>
      </c>
      <c r="T85" s="11" t="n">
        <v>1</v>
      </c>
      <c r="U85" s="11" t="n">
        <v>3</v>
      </c>
      <c r="V85" s="11" t="n">
        <v>3</v>
      </c>
      <c r="W85" s="11" t="n">
        <v>137</v>
      </c>
      <c r="X85" s="16" t="n">
        <v>5157</v>
      </c>
      <c r="Y85" s="10" t="n">
        <v>2</v>
      </c>
      <c r="Z85" s="11" t="n">
        <f aca="false">COUNTIFS(Reflections!$A$2:$A$70,$A85)</f>
        <v>1</v>
      </c>
      <c r="AA85" s="4" t="s">
        <v>79</v>
      </c>
      <c r="AB85" s="11" t="n">
        <v>3</v>
      </c>
      <c r="AC85" s="17" t="s">
        <v>86</v>
      </c>
    </row>
    <row r="86" customFormat="false" ht="15" hidden="false" customHeight="false" outlineLevel="0" collapsed="false">
      <c r="A86" s="15" t="n">
        <v>46306</v>
      </c>
      <c r="B86" s="4" t="str">
        <f aca="false">INDEX({"Monday","Tuesday","Wednesday","Thursday","Friday","Saturday","Sunday"},WEEKDAY($A86,2))</f>
        <v>Sunday</v>
      </c>
      <c r="C86" s="4" t="s">
        <v>78</v>
      </c>
      <c r="D86" s="11" t="n">
        <f aca="false">COUNTIFS(Intentions!$B$2:$B$365,$A86)</f>
        <v>3</v>
      </c>
      <c r="E86" s="11" t="n">
        <f aca="false">COUNTIFS(Intentions!$B$2:$B$365,$A86,Intentions!$H$2:$H$365,"&lt;&gt;Planned")</f>
        <v>3</v>
      </c>
      <c r="F86" s="11" t="n">
        <f aca="false">COUNTIFS(Intentions!$B$2:$B$365,$A86,Intentions!$H$2:$H$365,"Done")+COUNTIFS(Intentions!$B$2:$B$365,$A86,Intentions!$H$2:$H$365,"Partial")</f>
        <v>2</v>
      </c>
      <c r="G86" s="12" t="n">
        <f aca="false">IF(E86=0,"",SUMIFS(Intentions!$K$2:$K$365,Intentions!$B$2:$B$365,$A86)/E86)</f>
        <v>0.5</v>
      </c>
      <c r="H86" s="11" t="n">
        <f aca="false">SUMIFS(Intentions!$G$2:$G$365,Intentions!$B$2:$B$365,$A86)</f>
        <v>130</v>
      </c>
      <c r="I86" s="11" t="n">
        <f aca="false">SUMIFS(Activities!$F$2:$F$190,Activities!$B$2:$B$190,$A86)</f>
        <v>152</v>
      </c>
      <c r="J86" s="11" t="n">
        <f aca="false">SUMIFS(Activities!$F$2:$F$190,Activities!$B$2:$B$190,$A86,Activities!$C$2:$C$190,"Spiritual")</f>
        <v>0</v>
      </c>
      <c r="K86" s="11" t="n">
        <f aca="false">SUMIFS(Activities!$F$2:$F$190,Activities!$B$2:$B$190,$A86,Activities!$C$2:$C$190,"Physical")</f>
        <v>0</v>
      </c>
      <c r="L86" s="11" t="n">
        <f aca="false">SUMIFS(Activities!$F$2:$F$190,Activities!$B$2:$B$190,$A86,Activities!$C$2:$C$190,"Studies")</f>
        <v>74</v>
      </c>
      <c r="M86" s="11" t="n">
        <f aca="false">SUMIFS(Activities!$F$2:$F$190,Activities!$B$2:$B$190,$A86,Activities!$C$2:$C$190,"Professional")</f>
        <v>0</v>
      </c>
      <c r="N86" s="11" t="n">
        <f aca="false">SUMIFS(Activities!$F$2:$F$190,Activities!$B$2:$B$190,$A86,Activities!$C$2:$C$190,"Personal")</f>
        <v>18</v>
      </c>
      <c r="O86" s="11" t="n">
        <f aca="false">SUMIFS(Activities!$F$2:$F$190,Activities!$B$2:$B$190,$A86,Activities!$C$2:$C$190,"Relationships")</f>
        <v>0</v>
      </c>
      <c r="P86" s="11" t="n">
        <f aca="false">SUMIFS(Activities!$F$2:$F$190,Activities!$B$2:$B$190,$A86,Activities!$C$2:$C$190,"Leisure and creativity")</f>
        <v>60</v>
      </c>
      <c r="Q86" s="10" t="n">
        <v>5.9</v>
      </c>
      <c r="R86" s="11"/>
      <c r="S86" s="11" t="n">
        <v>1</v>
      </c>
      <c r="T86" s="11" t="n">
        <v>1</v>
      </c>
      <c r="U86" s="11" t="n">
        <v>4</v>
      </c>
      <c r="V86" s="11" t="n">
        <v>4</v>
      </c>
      <c r="W86" s="11" t="n">
        <v>205</v>
      </c>
      <c r="X86" s="16" t="n">
        <v>2191</v>
      </c>
      <c r="Y86" s="10" t="n">
        <v>1.5</v>
      </c>
      <c r="Z86" s="11" t="n">
        <f aca="false">COUNTIFS(Reflections!$A$2:$A$70,$A86)</f>
        <v>0</v>
      </c>
      <c r="AA86" s="4" t="s">
        <v>80</v>
      </c>
      <c r="AB86" s="11" t="n">
        <v>0</v>
      </c>
      <c r="AC86" s="17"/>
    </row>
    <row r="87" customFormat="false" ht="15" hidden="false" customHeight="false" outlineLevel="0" collapsed="false">
      <c r="A87" s="15" t="n">
        <v>46307</v>
      </c>
      <c r="B87" s="4" t="str">
        <f aca="false">INDEX({"Monday","Tuesday","Wednesday","Thursday","Friday","Saturday","Sunday"},WEEKDAY($A87,2))</f>
        <v>Monday</v>
      </c>
      <c r="C87" s="4" t="s">
        <v>78</v>
      </c>
      <c r="D87" s="11" t="n">
        <f aca="false">COUNTIFS(Intentions!$B$2:$B$365,$A87)</f>
        <v>5</v>
      </c>
      <c r="E87" s="11" t="n">
        <f aca="false">COUNTIFS(Intentions!$B$2:$B$365,$A87,Intentions!$H$2:$H$365,"&lt;&gt;Planned")</f>
        <v>5</v>
      </c>
      <c r="F87" s="11" t="n">
        <f aca="false">COUNTIFS(Intentions!$B$2:$B$365,$A87,Intentions!$H$2:$H$365,"Done")+COUNTIFS(Intentions!$B$2:$B$365,$A87,Intentions!$H$2:$H$365,"Partial")</f>
        <v>3</v>
      </c>
      <c r="G87" s="12" t="n">
        <f aca="false">IF(E87=0,"",SUMIFS(Intentions!$K$2:$K$365,Intentions!$B$2:$B$365,$A87)/E87)</f>
        <v>0.6</v>
      </c>
      <c r="H87" s="11" t="n">
        <f aca="false">SUMIFS(Intentions!$G$2:$G$365,Intentions!$B$2:$B$365,$A87)</f>
        <v>245</v>
      </c>
      <c r="I87" s="11" t="n">
        <f aca="false">SUMIFS(Activities!$F$2:$F$190,Activities!$B$2:$B$190,$A87)</f>
        <v>197</v>
      </c>
      <c r="J87" s="11" t="n">
        <f aca="false">SUMIFS(Activities!$F$2:$F$190,Activities!$B$2:$B$190,$A87,Activities!$C$2:$C$190,"Spiritual")</f>
        <v>14</v>
      </c>
      <c r="K87" s="11" t="n">
        <f aca="false">SUMIFS(Activities!$F$2:$F$190,Activities!$B$2:$B$190,$A87,Activities!$C$2:$C$190,"Physical")</f>
        <v>0</v>
      </c>
      <c r="L87" s="11" t="n">
        <f aca="false">SUMIFS(Activities!$F$2:$F$190,Activities!$B$2:$B$190,$A87,Activities!$C$2:$C$190,"Studies")</f>
        <v>156</v>
      </c>
      <c r="M87" s="11" t="n">
        <f aca="false">SUMIFS(Activities!$F$2:$F$190,Activities!$B$2:$B$190,$A87,Activities!$C$2:$C$190,"Professional")</f>
        <v>0</v>
      </c>
      <c r="N87" s="11" t="n">
        <f aca="false">SUMIFS(Activities!$F$2:$F$190,Activities!$B$2:$B$190,$A87,Activities!$C$2:$C$190,"Personal")</f>
        <v>0</v>
      </c>
      <c r="O87" s="11" t="n">
        <f aca="false">SUMIFS(Activities!$F$2:$F$190,Activities!$B$2:$B$190,$A87,Activities!$C$2:$C$190,"Relationships")</f>
        <v>27</v>
      </c>
      <c r="P87" s="11" t="n">
        <f aca="false">SUMIFS(Activities!$F$2:$F$190,Activities!$B$2:$B$190,$A87,Activities!$C$2:$C$190,"Leisure and creativity")</f>
        <v>0</v>
      </c>
      <c r="Q87" s="10" t="n">
        <v>6.7</v>
      </c>
      <c r="R87" s="11"/>
      <c r="S87" s="11" t="n">
        <v>3</v>
      </c>
      <c r="T87" s="11" t="n">
        <v>4</v>
      </c>
      <c r="U87" s="11" t="n">
        <v>3</v>
      </c>
      <c r="V87" s="11" t="n">
        <v>3</v>
      </c>
      <c r="W87" s="11" t="n">
        <v>178</v>
      </c>
      <c r="X87" s="16" t="n">
        <v>5629</v>
      </c>
      <c r="Y87" s="10" t="n">
        <v>2.2</v>
      </c>
      <c r="Z87" s="11" t="n">
        <f aca="false">COUNTIFS(Reflections!$A$2:$A$70,$A87)</f>
        <v>0</v>
      </c>
      <c r="AA87" s="4" t="s">
        <v>79</v>
      </c>
      <c r="AB87" s="11" t="n">
        <v>1</v>
      </c>
      <c r="AC87" s="17"/>
    </row>
    <row r="88" customFormat="false" ht="15" hidden="false" customHeight="false" outlineLevel="0" collapsed="false">
      <c r="A88" s="15" t="n">
        <v>46308</v>
      </c>
      <c r="B88" s="4" t="str">
        <f aca="false">INDEX({"Monday","Tuesday","Wednesday","Thursday","Friday","Saturday","Sunday"},WEEKDAY($A88,2))</f>
        <v>Tuesday</v>
      </c>
      <c r="C88" s="4" t="s">
        <v>78</v>
      </c>
      <c r="D88" s="11" t="n">
        <f aca="false">COUNTIFS(Intentions!$B$2:$B$365,$A88)</f>
        <v>4</v>
      </c>
      <c r="E88" s="11" t="n">
        <f aca="false">COUNTIFS(Intentions!$B$2:$B$365,$A88,Intentions!$H$2:$H$365,"&lt;&gt;Planned")</f>
        <v>4</v>
      </c>
      <c r="F88" s="11" t="n">
        <f aca="false">COUNTIFS(Intentions!$B$2:$B$365,$A88,Intentions!$H$2:$H$365,"Done")+COUNTIFS(Intentions!$B$2:$B$365,$A88,Intentions!$H$2:$H$365,"Partial")</f>
        <v>2</v>
      </c>
      <c r="G88" s="12" t="n">
        <f aca="false">IF(E88=0,"",SUMIFS(Intentions!$K$2:$K$365,Intentions!$B$2:$B$365,$A88)/E88)</f>
        <v>0.375</v>
      </c>
      <c r="H88" s="11" t="n">
        <f aca="false">SUMIFS(Intentions!$G$2:$G$365,Intentions!$B$2:$B$365,$A88)</f>
        <v>215</v>
      </c>
      <c r="I88" s="11" t="n">
        <f aca="false">SUMIFS(Activities!$F$2:$F$190,Activities!$B$2:$B$190,$A88)</f>
        <v>34</v>
      </c>
      <c r="J88" s="11" t="n">
        <f aca="false">SUMIFS(Activities!$F$2:$F$190,Activities!$B$2:$B$190,$A88,Activities!$C$2:$C$190,"Spiritual")</f>
        <v>20</v>
      </c>
      <c r="K88" s="11" t="n">
        <f aca="false">SUMIFS(Activities!$F$2:$F$190,Activities!$B$2:$B$190,$A88,Activities!$C$2:$C$190,"Physical")</f>
        <v>0</v>
      </c>
      <c r="L88" s="11" t="n">
        <f aca="false">SUMIFS(Activities!$F$2:$F$190,Activities!$B$2:$B$190,$A88,Activities!$C$2:$C$190,"Studies")</f>
        <v>0</v>
      </c>
      <c r="M88" s="11" t="n">
        <f aca="false">SUMIFS(Activities!$F$2:$F$190,Activities!$B$2:$B$190,$A88,Activities!$C$2:$C$190,"Professional")</f>
        <v>0</v>
      </c>
      <c r="N88" s="11" t="n">
        <f aca="false">SUMIFS(Activities!$F$2:$F$190,Activities!$B$2:$B$190,$A88,Activities!$C$2:$C$190,"Personal")</f>
        <v>0</v>
      </c>
      <c r="O88" s="11" t="n">
        <f aca="false">SUMIFS(Activities!$F$2:$F$190,Activities!$B$2:$B$190,$A88,Activities!$C$2:$C$190,"Relationships")</f>
        <v>14</v>
      </c>
      <c r="P88" s="11" t="n">
        <f aca="false">SUMIFS(Activities!$F$2:$F$190,Activities!$B$2:$B$190,$A88,Activities!$C$2:$C$190,"Leisure and creativity")</f>
        <v>0</v>
      </c>
      <c r="Q88" s="10" t="n">
        <v>6.2</v>
      </c>
      <c r="R88" s="11"/>
      <c r="S88" s="11" t="n">
        <v>1</v>
      </c>
      <c r="T88" s="11" t="n">
        <v>1</v>
      </c>
      <c r="U88" s="11" t="n">
        <v>3</v>
      </c>
      <c r="V88" s="11" t="n">
        <v>3</v>
      </c>
      <c r="W88" s="11" t="n">
        <v>121</v>
      </c>
      <c r="X88" s="16" t="n">
        <v>6233</v>
      </c>
      <c r="Y88" s="10" t="n">
        <v>2</v>
      </c>
      <c r="Z88" s="11" t="n">
        <f aca="false">COUNTIFS(Reflections!$A$2:$A$70,$A88)</f>
        <v>0</v>
      </c>
      <c r="AA88" s="4" t="s">
        <v>80</v>
      </c>
      <c r="AB88" s="11" t="n">
        <v>0</v>
      </c>
      <c r="AC88" s="17"/>
    </row>
    <row r="89" customFormat="false" ht="15" hidden="false" customHeight="false" outlineLevel="0" collapsed="false">
      <c r="A89" s="15" t="n">
        <v>46309</v>
      </c>
      <c r="B89" s="4" t="str">
        <f aca="false">INDEX({"Monday","Tuesday","Wednesday","Thursday","Friday","Saturday","Sunday"},WEEKDAY($A89,2))</f>
        <v>Wednesday</v>
      </c>
      <c r="C89" s="4" t="s">
        <v>81</v>
      </c>
      <c r="D89" s="11" t="n">
        <f aca="false">COUNTIFS(Intentions!$B$2:$B$365,$A89)</f>
        <v>0</v>
      </c>
      <c r="E89" s="11" t="n">
        <f aca="false">COUNTIFS(Intentions!$B$2:$B$365,$A89,Intentions!$H$2:$H$365,"&lt;&gt;Planned")</f>
        <v>0</v>
      </c>
      <c r="F89" s="11" t="n">
        <f aca="false">COUNTIFS(Intentions!$B$2:$B$365,$A89,Intentions!$H$2:$H$365,"Done")+COUNTIFS(Intentions!$B$2:$B$365,$A89,Intentions!$H$2:$H$365,"Partial")</f>
        <v>0</v>
      </c>
      <c r="G89" s="12" t="str">
        <f aca="false">IF(E89=0,"",SUMIFS(Intentions!$K$2:$K$365,Intentions!$B$2:$B$365,$A89)/E89)</f>
        <v/>
      </c>
      <c r="H89" s="11" t="n">
        <f aca="false">SUMIFS(Intentions!$G$2:$G$365,Intentions!$B$2:$B$365,$A89)</f>
        <v>0</v>
      </c>
      <c r="I89" s="11" t="n">
        <f aca="false">SUMIFS(Activities!$F$2:$F$190,Activities!$B$2:$B$190,$A89)</f>
        <v>0</v>
      </c>
      <c r="J89" s="11" t="n">
        <f aca="false">SUMIFS(Activities!$F$2:$F$190,Activities!$B$2:$B$190,$A89,Activities!$C$2:$C$190,"Spiritual")</f>
        <v>0</v>
      </c>
      <c r="K89" s="11" t="n">
        <f aca="false">SUMIFS(Activities!$F$2:$F$190,Activities!$B$2:$B$190,$A89,Activities!$C$2:$C$190,"Physical")</f>
        <v>0</v>
      </c>
      <c r="L89" s="11" t="n">
        <f aca="false">SUMIFS(Activities!$F$2:$F$190,Activities!$B$2:$B$190,$A89,Activities!$C$2:$C$190,"Studies")</f>
        <v>0</v>
      </c>
      <c r="M89" s="11" t="n">
        <f aca="false">SUMIFS(Activities!$F$2:$F$190,Activities!$B$2:$B$190,$A89,Activities!$C$2:$C$190,"Professional")</f>
        <v>0</v>
      </c>
      <c r="N89" s="11" t="n">
        <f aca="false">SUMIFS(Activities!$F$2:$F$190,Activities!$B$2:$B$190,$A89,Activities!$C$2:$C$190,"Personal")</f>
        <v>0</v>
      </c>
      <c r="O89" s="11" t="n">
        <f aca="false">SUMIFS(Activities!$F$2:$F$190,Activities!$B$2:$B$190,$A89,Activities!$C$2:$C$190,"Relationships")</f>
        <v>0</v>
      </c>
      <c r="P89" s="11" t="n">
        <f aca="false">SUMIFS(Activities!$F$2:$F$190,Activities!$B$2:$B$190,$A89,Activities!$C$2:$C$190,"Leisure and creativity")</f>
        <v>0</v>
      </c>
      <c r="Q89" s="10"/>
      <c r="R89" s="11"/>
      <c r="S89" s="11"/>
      <c r="T89" s="11"/>
      <c r="U89" s="11"/>
      <c r="V89" s="11"/>
      <c r="W89" s="11"/>
      <c r="X89" s="16"/>
      <c r="Y89" s="10"/>
      <c r="Z89" s="11" t="n">
        <f aca="false">COUNTIFS(Reflections!$A$2:$A$70,$A89)</f>
        <v>0</v>
      </c>
      <c r="AA89" s="4" t="s">
        <v>88</v>
      </c>
      <c r="AB89" s="11"/>
      <c r="AC89" s="17"/>
    </row>
    <row r="90" customFormat="false" ht="15" hidden="false" customHeight="false" outlineLevel="0" collapsed="false">
      <c r="A90" s="15" t="n">
        <v>46310</v>
      </c>
      <c r="B90" s="4" t="str">
        <f aca="false">INDEX({"Monday","Tuesday","Wednesday","Thursday","Friday","Saturday","Sunday"},WEEKDAY($A90,2))</f>
        <v>Thursday</v>
      </c>
      <c r="C90" s="4" t="s">
        <v>78</v>
      </c>
      <c r="D90" s="11" t="n">
        <f aca="false">COUNTIFS(Intentions!$B$2:$B$365,$A90)</f>
        <v>4</v>
      </c>
      <c r="E90" s="11" t="n">
        <f aca="false">COUNTIFS(Intentions!$B$2:$B$365,$A90,Intentions!$H$2:$H$365,"&lt;&gt;Planned")</f>
        <v>4</v>
      </c>
      <c r="F90" s="11" t="n">
        <f aca="false">COUNTIFS(Intentions!$B$2:$B$365,$A90,Intentions!$H$2:$H$365,"Done")+COUNTIFS(Intentions!$B$2:$B$365,$A90,Intentions!$H$2:$H$365,"Partial")</f>
        <v>2</v>
      </c>
      <c r="G90" s="12" t="n">
        <f aca="false">IF(E90=0,"",SUMIFS(Intentions!$K$2:$K$365,Intentions!$B$2:$B$365,$A90)/E90)</f>
        <v>0.5</v>
      </c>
      <c r="H90" s="11" t="n">
        <f aca="false">SUMIFS(Intentions!$G$2:$G$365,Intentions!$B$2:$B$365,$A90)</f>
        <v>225</v>
      </c>
      <c r="I90" s="11" t="n">
        <f aca="false">SUMIFS(Activities!$F$2:$F$190,Activities!$B$2:$B$190,$A90)</f>
        <v>225</v>
      </c>
      <c r="J90" s="11" t="n">
        <f aca="false">SUMIFS(Activities!$F$2:$F$190,Activities!$B$2:$B$190,$A90,Activities!$C$2:$C$190,"Spiritual")</f>
        <v>0</v>
      </c>
      <c r="K90" s="11" t="n">
        <f aca="false">SUMIFS(Activities!$F$2:$F$190,Activities!$B$2:$B$190,$A90,Activities!$C$2:$C$190,"Physical")</f>
        <v>0</v>
      </c>
      <c r="L90" s="11" t="n">
        <f aca="false">SUMIFS(Activities!$F$2:$F$190,Activities!$B$2:$B$190,$A90,Activities!$C$2:$C$190,"Studies")</f>
        <v>225</v>
      </c>
      <c r="M90" s="11" t="n">
        <f aca="false">SUMIFS(Activities!$F$2:$F$190,Activities!$B$2:$B$190,$A90,Activities!$C$2:$C$190,"Professional")</f>
        <v>0</v>
      </c>
      <c r="N90" s="11" t="n">
        <f aca="false">SUMIFS(Activities!$F$2:$F$190,Activities!$B$2:$B$190,$A90,Activities!$C$2:$C$190,"Personal")</f>
        <v>0</v>
      </c>
      <c r="O90" s="11" t="n">
        <f aca="false">SUMIFS(Activities!$F$2:$F$190,Activities!$B$2:$B$190,$A90,Activities!$C$2:$C$190,"Relationships")</f>
        <v>0</v>
      </c>
      <c r="P90" s="11" t="n">
        <f aca="false">SUMIFS(Activities!$F$2:$F$190,Activities!$B$2:$B$190,$A90,Activities!$C$2:$C$190,"Leisure and creativity")</f>
        <v>0</v>
      </c>
      <c r="Q90" s="10" t="n">
        <v>6.3</v>
      </c>
      <c r="R90" s="11"/>
      <c r="S90" s="11" t="n">
        <v>2</v>
      </c>
      <c r="T90" s="11" t="n">
        <v>3</v>
      </c>
      <c r="U90" s="11" t="n">
        <v>3</v>
      </c>
      <c r="V90" s="11" t="n">
        <v>2</v>
      </c>
      <c r="W90" s="11" t="n">
        <v>198</v>
      </c>
      <c r="X90" s="16" t="n">
        <v>7950</v>
      </c>
      <c r="Y90" s="10" t="n">
        <v>1.5</v>
      </c>
      <c r="Z90" s="11" t="n">
        <f aca="false">COUNTIFS(Reflections!$A$2:$A$70,$A90)</f>
        <v>0</v>
      </c>
      <c r="AA90" s="4" t="s">
        <v>80</v>
      </c>
      <c r="AB90" s="11" t="n">
        <v>0</v>
      </c>
      <c r="AC90" s="17"/>
    </row>
    <row r="91" customFormat="false" ht="15" hidden="false" customHeight="false" outlineLevel="0" collapsed="false">
      <c r="A91" s="15" t="n">
        <v>46311</v>
      </c>
      <c r="B91" s="4" t="str">
        <f aca="false">INDEX({"Monday","Tuesday","Wednesday","Thursday","Friday","Saturday","Sunday"},WEEKDAY($A91,2))</f>
        <v>Friday</v>
      </c>
      <c r="C91" s="4" t="s">
        <v>78</v>
      </c>
      <c r="D91" s="11" t="n">
        <f aca="false">COUNTIFS(Intentions!$B$2:$B$365,$A91)</f>
        <v>5</v>
      </c>
      <c r="E91" s="11" t="n">
        <f aca="false">COUNTIFS(Intentions!$B$2:$B$365,$A91,Intentions!$H$2:$H$365,"&lt;&gt;Planned")</f>
        <v>5</v>
      </c>
      <c r="F91" s="11" t="n">
        <f aca="false">COUNTIFS(Intentions!$B$2:$B$365,$A91,Intentions!$H$2:$H$365,"Done")+COUNTIFS(Intentions!$B$2:$B$365,$A91,Intentions!$H$2:$H$365,"Partial")</f>
        <v>3</v>
      </c>
      <c r="G91" s="12" t="n">
        <f aca="false">IF(E91=0,"",SUMIFS(Intentions!$K$2:$K$365,Intentions!$B$2:$B$365,$A91)/E91)</f>
        <v>0.5</v>
      </c>
      <c r="H91" s="11" t="n">
        <f aca="false">SUMIFS(Intentions!$G$2:$G$365,Intentions!$B$2:$B$365,$A91)</f>
        <v>190</v>
      </c>
      <c r="I91" s="11" t="n">
        <f aca="false">SUMIFS(Activities!$F$2:$F$190,Activities!$B$2:$B$190,$A91)</f>
        <v>102</v>
      </c>
      <c r="J91" s="11" t="n">
        <f aca="false">SUMIFS(Activities!$F$2:$F$190,Activities!$B$2:$B$190,$A91,Activities!$C$2:$C$190,"Spiritual")</f>
        <v>15</v>
      </c>
      <c r="K91" s="11" t="n">
        <f aca="false">SUMIFS(Activities!$F$2:$F$190,Activities!$B$2:$B$190,$A91,Activities!$C$2:$C$190,"Physical")</f>
        <v>0</v>
      </c>
      <c r="L91" s="11" t="n">
        <f aca="false">SUMIFS(Activities!$F$2:$F$190,Activities!$B$2:$B$190,$A91,Activities!$C$2:$C$190,"Studies")</f>
        <v>61</v>
      </c>
      <c r="M91" s="11" t="n">
        <f aca="false">SUMIFS(Activities!$F$2:$F$190,Activities!$B$2:$B$190,$A91,Activities!$C$2:$C$190,"Professional")</f>
        <v>0</v>
      </c>
      <c r="N91" s="11" t="n">
        <f aca="false">SUMIFS(Activities!$F$2:$F$190,Activities!$B$2:$B$190,$A91,Activities!$C$2:$C$190,"Personal")</f>
        <v>0</v>
      </c>
      <c r="O91" s="11" t="n">
        <f aca="false">SUMIFS(Activities!$F$2:$F$190,Activities!$B$2:$B$190,$A91,Activities!$C$2:$C$190,"Relationships")</f>
        <v>26</v>
      </c>
      <c r="P91" s="11" t="n">
        <f aca="false">SUMIFS(Activities!$F$2:$F$190,Activities!$B$2:$B$190,$A91,Activities!$C$2:$C$190,"Leisure and creativity")</f>
        <v>0</v>
      </c>
      <c r="Q91" s="10" t="n">
        <v>9.3</v>
      </c>
      <c r="R91" s="11"/>
      <c r="S91" s="11" t="n">
        <v>3</v>
      </c>
      <c r="T91" s="11" t="n">
        <v>4</v>
      </c>
      <c r="U91" s="11" t="n">
        <v>5</v>
      </c>
      <c r="V91" s="11" t="n">
        <v>4</v>
      </c>
      <c r="W91" s="11" t="n">
        <v>220</v>
      </c>
      <c r="X91" s="16" t="n">
        <v>7429</v>
      </c>
      <c r="Y91" s="10" t="n">
        <v>1.2</v>
      </c>
      <c r="Z91" s="11" t="n">
        <f aca="false">COUNTIFS(Reflections!$A$2:$A$70,$A91)</f>
        <v>0</v>
      </c>
      <c r="AA91" s="4" t="s">
        <v>89</v>
      </c>
      <c r="AB91" s="11"/>
      <c r="AC91" s="17"/>
    </row>
  </sheetData>
  <autoFilter ref="A1:AC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E00"/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9" min="9" style="0" width="11"/>
    <col collapsed="false" customWidth="true" hidden="false" outlineLevel="0" max="20" min="20" style="0" width="14"/>
  </cols>
  <sheetData>
    <row r="1" customFormat="false" ht="30" hidden="false" customHeight="true" outlineLevel="0" collapsed="false">
      <c r="A1" s="9" t="s">
        <v>90</v>
      </c>
      <c r="B1" s="9" t="s">
        <v>91</v>
      </c>
      <c r="C1" s="9" t="s">
        <v>4</v>
      </c>
      <c r="D1" s="9" t="s">
        <v>5</v>
      </c>
      <c r="E1" s="9" t="s">
        <v>27</v>
      </c>
      <c r="F1" s="9" t="s">
        <v>54</v>
      </c>
      <c r="G1" s="9" t="s">
        <v>55</v>
      </c>
      <c r="H1" s="9" t="s">
        <v>9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  <c r="S1" s="9" t="s">
        <v>102</v>
      </c>
      <c r="T1" s="9" t="s">
        <v>103</v>
      </c>
    </row>
    <row r="2" customFormat="false" ht="15" hidden="false" customHeight="false" outlineLevel="0" collapsed="false">
      <c r="A2" s="15" t="n">
        <v>46216</v>
      </c>
      <c r="B2" s="15" t="n">
        <f aca="false">A2+6</f>
        <v>46222</v>
      </c>
      <c r="C2" s="11" t="n">
        <f aca="false">COUNTIFS(Daily!$A$2:$A$91,"&gt;="&amp;$A2,Daily!$A$2:$A$91,"&lt;="&amp;$B2,Daily!$C$2:$C$91,"Yes")</f>
        <v>1</v>
      </c>
      <c r="D2" s="12" t="n">
        <f aca="false">IFERROR(C2/COUNTIFS(Daily!$A$2:$A$91,"&gt;="&amp;$A2,Daily!$A$2:$A$91,"&lt;="&amp;$B2),"")</f>
        <v>1</v>
      </c>
      <c r="E2" s="11" t="n">
        <f aca="false">SUMIFS(Daily!$D$2:$D$91,Daily!$A$2:$A$91,"&gt;="&amp;$A2,Daily!$A$2:$A$91,"&lt;="&amp;$B2)</f>
        <v>2</v>
      </c>
      <c r="F2" s="11" t="n">
        <f aca="false">SUMIFS(Daily!$E$2:$E$91,Daily!$A$2:$A$91,"&gt;="&amp;$A2,Daily!$A$2:$A$91,"&lt;="&amp;$B2)</f>
        <v>2</v>
      </c>
      <c r="G2" s="11" t="n">
        <f aca="false">SUMIFS(Daily!$F$2:$F$91,Daily!$A$2:$A$91,"&gt;="&amp;$A2,Daily!$A$2:$A$91,"&lt;="&amp;$B2)</f>
        <v>2</v>
      </c>
      <c r="H2" s="12" t="n">
        <f aca="false">IF(F2=0,"",SUMIFS(Intentions!$K$2:$K$365,Intentions!$B$2:$B$365,"&gt;="&amp;$A2,Intentions!$B$2:$B$365,"&lt;="&amp;$B2)/F2)</f>
        <v>1</v>
      </c>
      <c r="I2" s="10" t="n">
        <f aca="false">SUMIFS(Daily!$I$2:$I$91,Daily!$A$2:$A$91,"&gt;="&amp;$A2,Daily!$A$2:$A$91,"&lt;="&amp;$B2)/60</f>
        <v>3.61666666666667</v>
      </c>
      <c r="J2" s="10" t="n">
        <f aca="false">SUMIFS(Daily!$J$2:$J$91,Daily!$A$2:$A$91,"&gt;="&amp;$A2,Daily!$A$2:$A$91,"&lt;="&amp;$B2)/60</f>
        <v>0.35</v>
      </c>
      <c r="K2" s="10" t="n">
        <f aca="false">SUMIFS(Daily!$K$2:$K$91,Daily!$A$2:$A$91,"&gt;="&amp;$A2,Daily!$A$2:$A$91,"&lt;="&amp;$B2)/60</f>
        <v>0</v>
      </c>
      <c r="L2" s="10" t="n">
        <f aca="false">SUMIFS(Daily!$L$2:$L$91,Daily!$A$2:$A$91,"&gt;="&amp;$A2,Daily!$A$2:$A$91,"&lt;="&amp;$B2)/60</f>
        <v>1.76666666666667</v>
      </c>
      <c r="M2" s="10" t="n">
        <f aca="false">SUMIFS(Daily!$M$2:$M$91,Daily!$A$2:$A$91,"&gt;="&amp;$A2,Daily!$A$2:$A$91,"&lt;="&amp;$B2)/60</f>
        <v>0</v>
      </c>
      <c r="N2" s="10" t="n">
        <f aca="false">SUMIFS(Daily!$N$2:$N$91,Daily!$A$2:$A$91,"&gt;="&amp;$A2,Daily!$A$2:$A$91,"&lt;="&amp;$B2)/60</f>
        <v>0</v>
      </c>
      <c r="O2" s="10" t="n">
        <f aca="false">SUMIFS(Daily!$O$2:$O$91,Daily!$A$2:$A$91,"&gt;="&amp;$A2,Daily!$A$2:$A$91,"&lt;="&amp;$B2)/60</f>
        <v>0</v>
      </c>
      <c r="P2" s="10" t="n">
        <f aca="false">SUMIFS(Daily!$P$2:$P$91,Daily!$A$2:$A$91,"&gt;="&amp;$A2,Daily!$A$2:$A$91,"&lt;="&amp;$B2)/60</f>
        <v>1.5</v>
      </c>
      <c r="Q2" s="10" t="n">
        <f aca="false">IFERROR(AVERAGEIFS(Daily!$Q$2:$Q$91,Daily!$A$2:$A$91,"&gt;="&amp;$A2,Daily!$A$2:$A$91,"&lt;="&amp;$B2),"")</f>
        <v>7.8</v>
      </c>
      <c r="R2" s="18" t="n">
        <f aca="false">IFERROR(AVERAGEIFS(Daily!$S$2:$S$91,Daily!$A$2:$A$91,"&gt;="&amp;$A2,Daily!$A$2:$A$91,"&lt;="&amp;$B2),"")</f>
        <v>4</v>
      </c>
      <c r="S2" s="18" t="n">
        <f aca="false">IFERROR(AVERAGEIFS(Daily!$U$2:$U$91,Daily!$A$2:$A$91,"&gt;="&amp;$A2,Daily!$A$2:$A$91,"&lt;="&amp;$B2),"")</f>
        <v>5</v>
      </c>
      <c r="T2" s="10" t="n">
        <f aca="false">IFERROR(AVERAGEIFS(Intentions!$J$2:$J$365,Intentions!$B$2:$B$365,"&gt;="&amp;$A2,Intentions!$B$2:$B$365,"&lt;="&amp;$B2),"")</f>
        <v>26</v>
      </c>
    </row>
    <row r="3" customFormat="false" ht="15" hidden="false" customHeight="false" outlineLevel="0" collapsed="false">
      <c r="A3" s="15" t="n">
        <v>46223</v>
      </c>
      <c r="B3" s="15" t="n">
        <f aca="false">A3+6</f>
        <v>46229</v>
      </c>
      <c r="C3" s="11" t="n">
        <f aca="false">COUNTIFS(Daily!$A$2:$A$91,"&gt;="&amp;$A3,Daily!$A$2:$A$91,"&lt;="&amp;$B3,Daily!$C$2:$C$91,"Yes")</f>
        <v>6</v>
      </c>
      <c r="D3" s="12" t="n">
        <f aca="false">IFERROR(C3/COUNTIFS(Daily!$A$2:$A$91,"&gt;="&amp;$A3,Daily!$A$2:$A$91,"&lt;="&amp;$B3),"")</f>
        <v>0.857142857142857</v>
      </c>
      <c r="E3" s="11" t="n">
        <f aca="false">SUMIFS(Daily!$D$2:$D$91,Daily!$A$2:$A$91,"&gt;="&amp;$A3,Daily!$A$2:$A$91,"&lt;="&amp;$B3)</f>
        <v>29</v>
      </c>
      <c r="F3" s="11" t="n">
        <f aca="false">SUMIFS(Daily!$E$2:$E$91,Daily!$A$2:$A$91,"&gt;="&amp;$A3,Daily!$A$2:$A$91,"&lt;="&amp;$B3)</f>
        <v>29</v>
      </c>
      <c r="G3" s="11" t="n">
        <f aca="false">SUMIFS(Daily!$F$2:$F$91,Daily!$A$2:$A$91,"&gt;="&amp;$A3,Daily!$A$2:$A$91,"&lt;="&amp;$B3)</f>
        <v>17</v>
      </c>
      <c r="H3" s="12" t="n">
        <f aca="false">IF(F3=0,"",SUMIFS(Intentions!$K$2:$K$365,Intentions!$B$2:$B$365,"&gt;="&amp;$A3,Intentions!$B$2:$B$365,"&lt;="&amp;$B3)/F3)</f>
        <v>0.53448275862069</v>
      </c>
      <c r="I3" s="10" t="n">
        <f aca="false">SUMIFS(Daily!$I$2:$I$91,Daily!$A$2:$A$91,"&gt;="&amp;$A3,Daily!$A$2:$A$91,"&lt;="&amp;$B3)/60</f>
        <v>15.25</v>
      </c>
      <c r="J3" s="10" t="n">
        <f aca="false">SUMIFS(Daily!$J$2:$J$91,Daily!$A$2:$A$91,"&gt;="&amp;$A3,Daily!$A$2:$A$91,"&lt;="&amp;$B3)/60</f>
        <v>0.883333333333333</v>
      </c>
      <c r="K3" s="10" t="n">
        <f aca="false">SUMIFS(Daily!$K$2:$K$91,Daily!$A$2:$A$91,"&gt;="&amp;$A3,Daily!$A$2:$A$91,"&lt;="&amp;$B3)/60</f>
        <v>1.96666666666667</v>
      </c>
      <c r="L3" s="10" t="n">
        <f aca="false">SUMIFS(Daily!$L$2:$L$91,Daily!$A$2:$A$91,"&gt;="&amp;$A3,Daily!$A$2:$A$91,"&lt;="&amp;$B3)/60</f>
        <v>6.83333333333333</v>
      </c>
      <c r="M3" s="10" t="n">
        <f aca="false">SUMIFS(Daily!$M$2:$M$91,Daily!$A$2:$A$91,"&gt;="&amp;$A3,Daily!$A$2:$A$91,"&lt;="&amp;$B3)/60</f>
        <v>1.8</v>
      </c>
      <c r="N3" s="10" t="n">
        <f aca="false">SUMIFS(Daily!$N$2:$N$91,Daily!$A$2:$A$91,"&gt;="&amp;$A3,Daily!$A$2:$A$91,"&lt;="&amp;$B3)/60</f>
        <v>0.65</v>
      </c>
      <c r="O3" s="10" t="n">
        <f aca="false">SUMIFS(Daily!$O$2:$O$91,Daily!$A$2:$A$91,"&gt;="&amp;$A3,Daily!$A$2:$A$91,"&lt;="&amp;$B3)/60</f>
        <v>0.616666666666667</v>
      </c>
      <c r="P3" s="10" t="n">
        <f aca="false">SUMIFS(Daily!$P$2:$P$91,Daily!$A$2:$A$91,"&gt;="&amp;$A3,Daily!$A$2:$A$91,"&lt;="&amp;$B3)/60</f>
        <v>2.5</v>
      </c>
      <c r="Q3" s="10" t="n">
        <f aca="false">IFERROR(AVERAGEIFS(Daily!$Q$2:$Q$91,Daily!$A$2:$A$91,"&gt;="&amp;$A3,Daily!$A$2:$A$91,"&lt;="&amp;$B3),"")</f>
        <v>7.35</v>
      </c>
      <c r="R3" s="18" t="n">
        <f aca="false">IFERROR(AVERAGEIFS(Daily!$S$2:$S$91,Daily!$A$2:$A$91,"&gt;="&amp;$A3,Daily!$A$2:$A$91,"&lt;="&amp;$B3),"")</f>
        <v>3.33333333333333</v>
      </c>
      <c r="S3" s="18" t="n">
        <f aca="false">IFERROR(AVERAGEIFS(Daily!$U$2:$U$91,Daily!$A$2:$A$91,"&gt;="&amp;$A3,Daily!$A$2:$A$91,"&lt;="&amp;$B3),"")</f>
        <v>3.16666666666667</v>
      </c>
      <c r="T3" s="10" t="n">
        <f aca="false">IFERROR(AVERAGEIFS(Intentions!$J$2:$J$365,Intentions!$B$2:$B$365,"&gt;="&amp;$A3,Intentions!$B$2:$B$365,"&lt;="&amp;$B3),"")</f>
        <v>2.05882352941176</v>
      </c>
    </row>
    <row r="4" customFormat="false" ht="15" hidden="false" customHeight="false" outlineLevel="0" collapsed="false">
      <c r="A4" s="15" t="n">
        <v>46230</v>
      </c>
      <c r="B4" s="15" t="n">
        <f aca="false">A4+6</f>
        <v>46236</v>
      </c>
      <c r="C4" s="11" t="n">
        <f aca="false">COUNTIFS(Daily!$A$2:$A$91,"&gt;="&amp;$A4,Daily!$A$2:$A$91,"&lt;="&amp;$B4,Daily!$C$2:$C$91,"Yes")</f>
        <v>6</v>
      </c>
      <c r="D4" s="12" t="n">
        <f aca="false">IFERROR(C4/COUNTIFS(Daily!$A$2:$A$91,"&gt;="&amp;$A4,Daily!$A$2:$A$91,"&lt;="&amp;$B4),"")</f>
        <v>0.857142857142857</v>
      </c>
      <c r="E4" s="11" t="n">
        <f aca="false">SUMIFS(Daily!$D$2:$D$91,Daily!$A$2:$A$91,"&gt;="&amp;$A4,Daily!$A$2:$A$91,"&lt;="&amp;$B4)</f>
        <v>27</v>
      </c>
      <c r="F4" s="11" t="n">
        <f aca="false">SUMIFS(Daily!$E$2:$E$91,Daily!$A$2:$A$91,"&gt;="&amp;$A4,Daily!$A$2:$A$91,"&lt;="&amp;$B4)</f>
        <v>20</v>
      </c>
      <c r="G4" s="11" t="n">
        <f aca="false">SUMIFS(Daily!$F$2:$F$91,Daily!$A$2:$A$91,"&gt;="&amp;$A4,Daily!$A$2:$A$91,"&lt;="&amp;$B4)</f>
        <v>6</v>
      </c>
      <c r="H4" s="12" t="n">
        <f aca="false">IF(F4=0,"",SUMIFS(Intentions!$K$2:$K$365,Intentions!$B$2:$B$365,"&gt;="&amp;$A4,Intentions!$B$2:$B$365,"&lt;="&amp;$B4)/F4)</f>
        <v>0.275</v>
      </c>
      <c r="I4" s="10" t="n">
        <f aca="false">SUMIFS(Daily!$I$2:$I$91,Daily!$A$2:$A$91,"&gt;="&amp;$A4,Daily!$A$2:$A$91,"&lt;="&amp;$B4)/60</f>
        <v>6.06666666666667</v>
      </c>
      <c r="J4" s="10" t="n">
        <f aca="false">SUMIFS(Daily!$J$2:$J$91,Daily!$A$2:$A$91,"&gt;="&amp;$A4,Daily!$A$2:$A$91,"&lt;="&amp;$B4)/60</f>
        <v>0.283333333333333</v>
      </c>
      <c r="K4" s="10" t="n">
        <f aca="false">SUMIFS(Daily!$K$2:$K$91,Daily!$A$2:$A$91,"&gt;="&amp;$A4,Daily!$A$2:$A$91,"&lt;="&amp;$B4)/60</f>
        <v>0.566666666666667</v>
      </c>
      <c r="L4" s="10" t="n">
        <f aca="false">SUMIFS(Daily!$L$2:$L$91,Daily!$A$2:$A$91,"&gt;="&amp;$A4,Daily!$A$2:$A$91,"&lt;="&amp;$B4)/60</f>
        <v>3.71666666666667</v>
      </c>
      <c r="M4" s="10" t="n">
        <f aca="false">SUMIFS(Daily!$M$2:$M$91,Daily!$A$2:$A$91,"&gt;="&amp;$A4,Daily!$A$2:$A$91,"&lt;="&amp;$B4)/60</f>
        <v>0</v>
      </c>
      <c r="N4" s="10" t="n">
        <f aca="false">SUMIFS(Daily!$N$2:$N$91,Daily!$A$2:$A$91,"&gt;="&amp;$A4,Daily!$A$2:$A$91,"&lt;="&amp;$B4)/60</f>
        <v>0</v>
      </c>
      <c r="O4" s="10" t="n">
        <f aca="false">SUMIFS(Daily!$O$2:$O$91,Daily!$A$2:$A$91,"&gt;="&amp;$A4,Daily!$A$2:$A$91,"&lt;="&amp;$B4)/60</f>
        <v>0</v>
      </c>
      <c r="P4" s="10" t="n">
        <f aca="false">SUMIFS(Daily!$P$2:$P$91,Daily!$A$2:$A$91,"&gt;="&amp;$A4,Daily!$A$2:$A$91,"&lt;="&amp;$B4)/60</f>
        <v>1.5</v>
      </c>
      <c r="Q4" s="10" t="n">
        <f aca="false">IFERROR(AVERAGEIFS(Daily!$Q$2:$Q$91,Daily!$A$2:$A$91,"&gt;="&amp;$A4,Daily!$A$2:$A$91,"&lt;="&amp;$B4),"")</f>
        <v>7.46666666666667</v>
      </c>
      <c r="R4" s="18" t="n">
        <f aca="false">IFERROR(AVERAGEIFS(Daily!$S$2:$S$91,Daily!$A$2:$A$91,"&gt;="&amp;$A4,Daily!$A$2:$A$91,"&lt;="&amp;$B4),"")</f>
        <v>3.16666666666667</v>
      </c>
      <c r="S4" s="18" t="n">
        <f aca="false">IFERROR(AVERAGEIFS(Daily!$U$2:$U$91,Daily!$A$2:$A$91,"&gt;="&amp;$A4,Daily!$A$2:$A$91,"&lt;="&amp;$B4),"")</f>
        <v>3.16666666666667</v>
      </c>
      <c r="T4" s="10" t="n">
        <f aca="false">IFERROR(AVERAGEIFS(Intentions!$J$2:$J$365,Intentions!$B$2:$B$365,"&gt;="&amp;$A4,Intentions!$B$2:$B$365,"&lt;="&amp;$B4),"")</f>
        <v>-2.66666666666667</v>
      </c>
    </row>
    <row r="5" customFormat="false" ht="15" hidden="false" customHeight="false" outlineLevel="0" collapsed="false">
      <c r="A5" s="15" t="n">
        <v>46237</v>
      </c>
      <c r="B5" s="15" t="n">
        <f aca="false">A5+6</f>
        <v>46243</v>
      </c>
      <c r="C5" s="11" t="n">
        <f aca="false">COUNTIFS(Daily!$A$2:$A$91,"&gt;="&amp;$A5,Daily!$A$2:$A$91,"&lt;="&amp;$B5,Daily!$C$2:$C$91,"Yes")</f>
        <v>7</v>
      </c>
      <c r="D5" s="12" t="n">
        <f aca="false">IFERROR(C5/COUNTIFS(Daily!$A$2:$A$91,"&gt;="&amp;$A5,Daily!$A$2:$A$91,"&lt;="&amp;$B5),"")</f>
        <v>1</v>
      </c>
      <c r="E5" s="11" t="n">
        <f aca="false">SUMIFS(Daily!$D$2:$D$91,Daily!$A$2:$A$91,"&gt;="&amp;$A5,Daily!$A$2:$A$91,"&lt;="&amp;$B5)</f>
        <v>31</v>
      </c>
      <c r="F5" s="11" t="n">
        <f aca="false">SUMIFS(Daily!$E$2:$E$91,Daily!$A$2:$A$91,"&gt;="&amp;$A5,Daily!$A$2:$A$91,"&lt;="&amp;$B5)</f>
        <v>31</v>
      </c>
      <c r="G5" s="11" t="n">
        <f aca="false">SUMIFS(Daily!$F$2:$F$91,Daily!$A$2:$A$91,"&gt;="&amp;$A5,Daily!$A$2:$A$91,"&lt;="&amp;$B5)</f>
        <v>16</v>
      </c>
      <c r="H5" s="12" t="n">
        <f aca="false">IF(F5=0,"",SUMIFS(Intentions!$K$2:$K$365,Intentions!$B$2:$B$365,"&gt;="&amp;$A5,Intentions!$B$2:$B$365,"&lt;="&amp;$B5)/F5)</f>
        <v>0.516129032258065</v>
      </c>
      <c r="I5" s="10" t="n">
        <f aca="false">SUMIFS(Daily!$I$2:$I$91,Daily!$A$2:$A$91,"&gt;="&amp;$A5,Daily!$A$2:$A$91,"&lt;="&amp;$B5)/60</f>
        <v>20.7333333333333</v>
      </c>
      <c r="J5" s="10" t="n">
        <f aca="false">SUMIFS(Daily!$J$2:$J$91,Daily!$A$2:$A$91,"&gt;="&amp;$A5,Daily!$A$2:$A$91,"&lt;="&amp;$B5)/60</f>
        <v>0.666666666666667</v>
      </c>
      <c r="K5" s="10" t="n">
        <f aca="false">SUMIFS(Daily!$K$2:$K$91,Daily!$A$2:$A$91,"&gt;="&amp;$A5,Daily!$A$2:$A$91,"&lt;="&amp;$B5)/60</f>
        <v>2.08333333333333</v>
      </c>
      <c r="L5" s="10" t="n">
        <f aca="false">SUMIFS(Daily!$L$2:$L$91,Daily!$A$2:$A$91,"&gt;="&amp;$A5,Daily!$A$2:$A$91,"&lt;="&amp;$B5)/60</f>
        <v>13.6666666666667</v>
      </c>
      <c r="M5" s="10" t="n">
        <f aca="false">SUMIFS(Daily!$M$2:$M$91,Daily!$A$2:$A$91,"&gt;="&amp;$A5,Daily!$A$2:$A$91,"&lt;="&amp;$B5)/60</f>
        <v>0</v>
      </c>
      <c r="N5" s="10" t="n">
        <f aca="false">SUMIFS(Daily!$N$2:$N$91,Daily!$A$2:$A$91,"&gt;="&amp;$A5,Daily!$A$2:$A$91,"&lt;="&amp;$B5)/60</f>
        <v>0.583333333333333</v>
      </c>
      <c r="O5" s="10" t="n">
        <f aca="false">SUMIFS(Daily!$O$2:$O$91,Daily!$A$2:$A$91,"&gt;="&amp;$A5,Daily!$A$2:$A$91,"&lt;="&amp;$B5)/60</f>
        <v>0.733333333333333</v>
      </c>
      <c r="P5" s="10" t="n">
        <f aca="false">SUMIFS(Daily!$P$2:$P$91,Daily!$A$2:$A$91,"&gt;="&amp;$A5,Daily!$A$2:$A$91,"&lt;="&amp;$B5)/60</f>
        <v>3</v>
      </c>
      <c r="Q5" s="10" t="n">
        <f aca="false">IFERROR(AVERAGEIFS(Daily!$Q$2:$Q$91,Daily!$A$2:$A$91,"&gt;="&amp;$A5,Daily!$A$2:$A$91,"&lt;="&amp;$B5),"")</f>
        <v>6.52857142857143</v>
      </c>
      <c r="R5" s="18" t="n">
        <f aca="false">IFERROR(AVERAGEIFS(Daily!$S$2:$S$91,Daily!$A$2:$A$91,"&gt;="&amp;$A5,Daily!$A$2:$A$91,"&lt;="&amp;$B5),"")</f>
        <v>2.85714285714286</v>
      </c>
      <c r="S5" s="18" t="n">
        <f aca="false">IFERROR(AVERAGEIFS(Daily!$U$2:$U$91,Daily!$A$2:$A$91,"&gt;="&amp;$A5,Daily!$A$2:$A$91,"&lt;="&amp;$B5),"")</f>
        <v>3.28571428571429</v>
      </c>
      <c r="T5" s="10" t="n">
        <f aca="false">IFERROR(AVERAGEIFS(Intentions!$J$2:$J$365,Intentions!$B$2:$B$365,"&gt;="&amp;$A5,Intentions!$B$2:$B$365,"&lt;="&amp;$B5),"")</f>
        <v>12.75</v>
      </c>
    </row>
    <row r="6" customFormat="false" ht="15" hidden="false" customHeight="false" outlineLevel="0" collapsed="false">
      <c r="A6" s="15" t="n">
        <v>46244</v>
      </c>
      <c r="B6" s="15" t="n">
        <f aca="false">A6+6</f>
        <v>46250</v>
      </c>
      <c r="C6" s="11" t="n">
        <f aca="false">COUNTIFS(Daily!$A$2:$A$91,"&gt;="&amp;$A6,Daily!$A$2:$A$91,"&lt;="&amp;$B6,Daily!$C$2:$C$91,"Yes")</f>
        <v>7</v>
      </c>
      <c r="D6" s="12" t="n">
        <f aca="false">IFERROR(C6/COUNTIFS(Daily!$A$2:$A$91,"&gt;="&amp;$A6,Daily!$A$2:$A$91,"&lt;="&amp;$B6),"")</f>
        <v>1</v>
      </c>
      <c r="E6" s="11" t="n">
        <f aca="false">SUMIFS(Daily!$D$2:$D$91,Daily!$A$2:$A$91,"&gt;="&amp;$A6,Daily!$A$2:$A$91,"&lt;="&amp;$B6)</f>
        <v>40</v>
      </c>
      <c r="F6" s="11" t="n">
        <f aca="false">SUMIFS(Daily!$E$2:$E$91,Daily!$A$2:$A$91,"&gt;="&amp;$A6,Daily!$A$2:$A$91,"&lt;="&amp;$B6)</f>
        <v>40</v>
      </c>
      <c r="G6" s="11" t="n">
        <f aca="false">SUMIFS(Daily!$F$2:$F$91,Daily!$A$2:$A$91,"&gt;="&amp;$A6,Daily!$A$2:$A$91,"&lt;="&amp;$B6)</f>
        <v>19</v>
      </c>
      <c r="H6" s="12" t="n">
        <f aca="false">IF(F6=0,"",SUMIFS(Intentions!$K$2:$K$365,Intentions!$B$2:$B$365,"&gt;="&amp;$A6,Intentions!$B$2:$B$365,"&lt;="&amp;$B6)/F6)</f>
        <v>0.45</v>
      </c>
      <c r="I6" s="10" t="n">
        <f aca="false">SUMIFS(Daily!$I$2:$I$91,Daily!$A$2:$A$91,"&gt;="&amp;$A6,Daily!$A$2:$A$91,"&lt;="&amp;$B6)/60</f>
        <v>17.2333333333333</v>
      </c>
      <c r="J6" s="10" t="n">
        <f aca="false">SUMIFS(Daily!$J$2:$J$91,Daily!$A$2:$A$91,"&gt;="&amp;$A6,Daily!$A$2:$A$91,"&lt;="&amp;$B6)/60</f>
        <v>0.616666666666667</v>
      </c>
      <c r="K6" s="10" t="n">
        <f aca="false">SUMIFS(Daily!$K$2:$K$91,Daily!$A$2:$A$91,"&gt;="&amp;$A6,Daily!$A$2:$A$91,"&lt;="&amp;$B6)/60</f>
        <v>1.86666666666667</v>
      </c>
      <c r="L6" s="10" t="n">
        <f aca="false">SUMIFS(Daily!$L$2:$L$91,Daily!$A$2:$A$91,"&gt;="&amp;$A6,Daily!$A$2:$A$91,"&lt;="&amp;$B6)/60</f>
        <v>6.23333333333333</v>
      </c>
      <c r="M6" s="10" t="n">
        <f aca="false">SUMIFS(Daily!$M$2:$M$91,Daily!$A$2:$A$91,"&gt;="&amp;$A6,Daily!$A$2:$A$91,"&lt;="&amp;$B6)/60</f>
        <v>3.7</v>
      </c>
      <c r="N6" s="10" t="n">
        <f aca="false">SUMIFS(Daily!$N$2:$N$91,Daily!$A$2:$A$91,"&gt;="&amp;$A6,Daily!$A$2:$A$91,"&lt;="&amp;$B6)/60</f>
        <v>0.9</v>
      </c>
      <c r="O6" s="10" t="n">
        <f aca="false">SUMIFS(Daily!$O$2:$O$91,Daily!$A$2:$A$91,"&gt;="&amp;$A6,Daily!$A$2:$A$91,"&lt;="&amp;$B6)/60</f>
        <v>0.916666666666667</v>
      </c>
      <c r="P6" s="10" t="n">
        <f aca="false">SUMIFS(Daily!$P$2:$P$91,Daily!$A$2:$A$91,"&gt;="&amp;$A6,Daily!$A$2:$A$91,"&lt;="&amp;$B6)/60</f>
        <v>3</v>
      </c>
      <c r="Q6" s="10" t="n">
        <f aca="false">IFERROR(AVERAGEIFS(Daily!$Q$2:$Q$91,Daily!$A$2:$A$91,"&gt;="&amp;$A6,Daily!$A$2:$A$91,"&lt;="&amp;$B6),"")</f>
        <v>7.01428571428571</v>
      </c>
      <c r="R6" s="18" t="n">
        <f aca="false">IFERROR(AVERAGEIFS(Daily!$S$2:$S$91,Daily!$A$2:$A$91,"&gt;="&amp;$A6,Daily!$A$2:$A$91,"&lt;="&amp;$B6),"")</f>
        <v>3.42857142857143</v>
      </c>
      <c r="S6" s="18" t="n">
        <f aca="false">IFERROR(AVERAGEIFS(Daily!$U$2:$U$91,Daily!$A$2:$A$91,"&gt;="&amp;$A6,Daily!$A$2:$A$91,"&lt;="&amp;$B6),"")</f>
        <v>3.42857142857143</v>
      </c>
      <c r="T6" s="10" t="n">
        <f aca="false">IFERROR(AVERAGEIFS(Intentions!$J$2:$J$365,Intentions!$B$2:$B$365,"&gt;="&amp;$A6,Intentions!$B$2:$B$365,"&lt;="&amp;$B6),"")</f>
        <v>5.73684210526316</v>
      </c>
    </row>
    <row r="7" customFormat="false" ht="15" hidden="false" customHeight="false" outlineLevel="0" collapsed="false">
      <c r="A7" s="15" t="n">
        <v>46251</v>
      </c>
      <c r="B7" s="15" t="n">
        <f aca="false">A7+6</f>
        <v>46257</v>
      </c>
      <c r="C7" s="11" t="n">
        <f aca="false">COUNTIFS(Daily!$A$2:$A$91,"&gt;="&amp;$A7,Daily!$A$2:$A$91,"&lt;="&amp;$B7,Daily!$C$2:$C$91,"Yes")</f>
        <v>7</v>
      </c>
      <c r="D7" s="12" t="n">
        <f aca="false">IFERROR(C7/COUNTIFS(Daily!$A$2:$A$91,"&gt;="&amp;$A7,Daily!$A$2:$A$91,"&lt;="&amp;$B7),"")</f>
        <v>1</v>
      </c>
      <c r="E7" s="11" t="n">
        <f aca="false">SUMIFS(Daily!$D$2:$D$91,Daily!$A$2:$A$91,"&gt;="&amp;$A7,Daily!$A$2:$A$91,"&lt;="&amp;$B7)</f>
        <v>27</v>
      </c>
      <c r="F7" s="11" t="n">
        <f aca="false">SUMIFS(Daily!$E$2:$E$91,Daily!$A$2:$A$91,"&gt;="&amp;$A7,Daily!$A$2:$A$91,"&lt;="&amp;$B7)</f>
        <v>27</v>
      </c>
      <c r="G7" s="11" t="n">
        <f aca="false">SUMIFS(Daily!$F$2:$F$91,Daily!$A$2:$A$91,"&gt;="&amp;$A7,Daily!$A$2:$A$91,"&lt;="&amp;$B7)</f>
        <v>11</v>
      </c>
      <c r="H7" s="12" t="n">
        <f aca="false">IF(F7=0,"",SUMIFS(Intentions!$K$2:$K$365,Intentions!$B$2:$B$365,"&gt;="&amp;$A7,Intentions!$B$2:$B$365,"&lt;="&amp;$B7)/F7)</f>
        <v>0.388888888888889</v>
      </c>
      <c r="I7" s="10" t="n">
        <f aca="false">SUMIFS(Daily!$I$2:$I$91,Daily!$A$2:$A$91,"&gt;="&amp;$A7,Daily!$A$2:$A$91,"&lt;="&amp;$B7)/60</f>
        <v>6.03333333333333</v>
      </c>
      <c r="J7" s="10" t="n">
        <f aca="false">SUMIFS(Daily!$J$2:$J$91,Daily!$A$2:$A$91,"&gt;="&amp;$A7,Daily!$A$2:$A$91,"&lt;="&amp;$B7)/60</f>
        <v>1.15</v>
      </c>
      <c r="K7" s="10" t="n">
        <f aca="false">SUMIFS(Daily!$K$2:$K$91,Daily!$A$2:$A$91,"&gt;="&amp;$A7,Daily!$A$2:$A$91,"&lt;="&amp;$B7)/60</f>
        <v>0.666666666666667</v>
      </c>
      <c r="L7" s="10" t="n">
        <f aca="false">SUMIFS(Daily!$L$2:$L$91,Daily!$A$2:$A$91,"&gt;="&amp;$A7,Daily!$A$2:$A$91,"&lt;="&amp;$B7)/60</f>
        <v>3.16666666666667</v>
      </c>
      <c r="M7" s="10" t="n">
        <f aca="false">SUMIFS(Daily!$M$2:$M$91,Daily!$A$2:$A$91,"&gt;="&amp;$A7,Daily!$A$2:$A$91,"&lt;="&amp;$B7)/60</f>
        <v>0</v>
      </c>
      <c r="N7" s="10" t="n">
        <f aca="false">SUMIFS(Daily!$N$2:$N$91,Daily!$A$2:$A$91,"&gt;="&amp;$A7,Daily!$A$2:$A$91,"&lt;="&amp;$B7)/60</f>
        <v>0.416666666666667</v>
      </c>
      <c r="O7" s="10" t="n">
        <f aca="false">SUMIFS(Daily!$O$2:$O$91,Daily!$A$2:$A$91,"&gt;="&amp;$A7,Daily!$A$2:$A$91,"&lt;="&amp;$B7)/60</f>
        <v>0.633333333333333</v>
      </c>
      <c r="P7" s="10" t="n">
        <f aca="false">SUMIFS(Daily!$P$2:$P$91,Daily!$A$2:$A$91,"&gt;="&amp;$A7,Daily!$A$2:$A$91,"&lt;="&amp;$B7)/60</f>
        <v>0</v>
      </c>
      <c r="Q7" s="10" t="n">
        <f aca="false">IFERROR(AVERAGEIFS(Daily!$Q$2:$Q$91,Daily!$A$2:$A$91,"&gt;="&amp;$A7,Daily!$A$2:$A$91,"&lt;="&amp;$B7),"")</f>
        <v>7.1</v>
      </c>
      <c r="R7" s="18" t="n">
        <f aca="false">IFERROR(AVERAGEIFS(Daily!$S$2:$S$91,Daily!$A$2:$A$91,"&gt;="&amp;$A7,Daily!$A$2:$A$91,"&lt;="&amp;$B7),"")</f>
        <v>3</v>
      </c>
      <c r="S7" s="18" t="n">
        <f aca="false">IFERROR(AVERAGEIFS(Daily!$U$2:$U$91,Daily!$A$2:$A$91,"&gt;="&amp;$A7,Daily!$A$2:$A$91,"&lt;="&amp;$B7),"")</f>
        <v>3</v>
      </c>
      <c r="T7" s="10" t="n">
        <f aca="false">IFERROR(AVERAGEIFS(Intentions!$J$2:$J$365,Intentions!$B$2:$B$365,"&gt;="&amp;$A7,Intentions!$B$2:$B$365,"&lt;="&amp;$B7),"")</f>
        <v>1.09090909090909</v>
      </c>
    </row>
    <row r="8" customFormat="false" ht="15" hidden="false" customHeight="false" outlineLevel="0" collapsed="false">
      <c r="A8" s="15" t="n">
        <v>46258</v>
      </c>
      <c r="B8" s="15" t="n">
        <f aca="false">A8+6</f>
        <v>46264</v>
      </c>
      <c r="C8" s="11" t="n">
        <f aca="false">COUNTIFS(Daily!$A$2:$A$91,"&gt;="&amp;$A8,Daily!$A$2:$A$91,"&lt;="&amp;$B8,Daily!$C$2:$C$91,"Yes")</f>
        <v>6</v>
      </c>
      <c r="D8" s="12" t="n">
        <f aca="false">IFERROR(C8/COUNTIFS(Daily!$A$2:$A$91,"&gt;="&amp;$A8,Daily!$A$2:$A$91,"&lt;="&amp;$B8),"")</f>
        <v>0.857142857142857</v>
      </c>
      <c r="E8" s="11" t="n">
        <f aca="false">SUMIFS(Daily!$D$2:$D$91,Daily!$A$2:$A$91,"&gt;="&amp;$A8,Daily!$A$2:$A$91,"&lt;="&amp;$B8)</f>
        <v>25</v>
      </c>
      <c r="F8" s="11" t="n">
        <f aca="false">SUMIFS(Daily!$E$2:$E$91,Daily!$A$2:$A$91,"&gt;="&amp;$A8,Daily!$A$2:$A$91,"&lt;="&amp;$B8)</f>
        <v>25</v>
      </c>
      <c r="G8" s="11" t="n">
        <f aca="false">SUMIFS(Daily!$F$2:$F$91,Daily!$A$2:$A$91,"&gt;="&amp;$A8,Daily!$A$2:$A$91,"&lt;="&amp;$B8)</f>
        <v>10</v>
      </c>
      <c r="H8" s="12" t="n">
        <f aca="false">IF(F8=0,"",SUMIFS(Intentions!$K$2:$K$365,Intentions!$B$2:$B$365,"&gt;="&amp;$A8,Intentions!$B$2:$B$365,"&lt;="&amp;$B8)/F8)</f>
        <v>0.4</v>
      </c>
      <c r="I8" s="10" t="n">
        <f aca="false">SUMIFS(Daily!$I$2:$I$91,Daily!$A$2:$A$91,"&gt;="&amp;$A8,Daily!$A$2:$A$91,"&lt;="&amp;$B8)/60</f>
        <v>8.25</v>
      </c>
      <c r="J8" s="10" t="n">
        <f aca="false">SUMIFS(Daily!$J$2:$J$91,Daily!$A$2:$A$91,"&gt;="&amp;$A8,Daily!$A$2:$A$91,"&lt;="&amp;$B8)/60</f>
        <v>1.26666666666667</v>
      </c>
      <c r="K8" s="10" t="n">
        <f aca="false">SUMIFS(Daily!$K$2:$K$91,Daily!$A$2:$A$91,"&gt;="&amp;$A8,Daily!$A$2:$A$91,"&lt;="&amp;$B8)/60</f>
        <v>0</v>
      </c>
      <c r="L8" s="10" t="n">
        <f aca="false">SUMIFS(Daily!$L$2:$L$91,Daily!$A$2:$A$91,"&gt;="&amp;$A8,Daily!$A$2:$A$91,"&lt;="&amp;$B8)/60</f>
        <v>5.18333333333333</v>
      </c>
      <c r="M8" s="10" t="n">
        <f aca="false">SUMIFS(Daily!$M$2:$M$91,Daily!$A$2:$A$91,"&gt;="&amp;$A8,Daily!$A$2:$A$91,"&lt;="&amp;$B8)/60</f>
        <v>0.983333333333333</v>
      </c>
      <c r="N8" s="10" t="n">
        <f aca="false">SUMIFS(Daily!$N$2:$N$91,Daily!$A$2:$A$91,"&gt;="&amp;$A8,Daily!$A$2:$A$91,"&lt;="&amp;$B8)/60</f>
        <v>0</v>
      </c>
      <c r="O8" s="10" t="n">
        <f aca="false">SUMIFS(Daily!$O$2:$O$91,Daily!$A$2:$A$91,"&gt;="&amp;$A8,Daily!$A$2:$A$91,"&lt;="&amp;$B8)/60</f>
        <v>0.366666666666667</v>
      </c>
      <c r="P8" s="10" t="n">
        <f aca="false">SUMIFS(Daily!$P$2:$P$91,Daily!$A$2:$A$91,"&gt;="&amp;$A8,Daily!$A$2:$A$91,"&lt;="&amp;$B8)/60</f>
        <v>0.45</v>
      </c>
      <c r="Q8" s="10" t="n">
        <f aca="false">IFERROR(AVERAGEIFS(Daily!$Q$2:$Q$91,Daily!$A$2:$A$91,"&gt;="&amp;$A8,Daily!$A$2:$A$91,"&lt;="&amp;$B8),"")</f>
        <v>7.26666666666667</v>
      </c>
      <c r="R8" s="18" t="n">
        <f aca="false">IFERROR(AVERAGEIFS(Daily!$S$2:$S$91,Daily!$A$2:$A$91,"&gt;="&amp;$A8,Daily!$A$2:$A$91,"&lt;="&amp;$B8),"")</f>
        <v>3.5</v>
      </c>
      <c r="S8" s="18" t="n">
        <f aca="false">IFERROR(AVERAGEIFS(Daily!$U$2:$U$91,Daily!$A$2:$A$91,"&gt;="&amp;$A8,Daily!$A$2:$A$91,"&lt;="&amp;$B8),"")</f>
        <v>3.16666666666667</v>
      </c>
      <c r="T8" s="10" t="n">
        <f aca="false">IFERROR(AVERAGEIFS(Intentions!$J$2:$J$365,Intentions!$B$2:$B$365,"&gt;="&amp;$A8,Intentions!$B$2:$B$365,"&lt;="&amp;$B8),"")</f>
        <v>9.5</v>
      </c>
    </row>
    <row r="9" customFormat="false" ht="15" hidden="false" customHeight="false" outlineLevel="0" collapsed="false">
      <c r="A9" s="15" t="n">
        <v>46265</v>
      </c>
      <c r="B9" s="15" t="n">
        <f aca="false">A9+6</f>
        <v>46271</v>
      </c>
      <c r="C9" s="11" t="n">
        <f aca="false">COUNTIFS(Daily!$A$2:$A$91,"&gt;="&amp;$A9,Daily!$A$2:$A$91,"&lt;="&amp;$B9,Daily!$C$2:$C$91,"Yes")</f>
        <v>7</v>
      </c>
      <c r="D9" s="12" t="n">
        <f aca="false">IFERROR(C9/COUNTIFS(Daily!$A$2:$A$91,"&gt;="&amp;$A9,Daily!$A$2:$A$91,"&lt;="&amp;$B9),"")</f>
        <v>1</v>
      </c>
      <c r="E9" s="11" t="n">
        <f aca="false">SUMIFS(Daily!$D$2:$D$91,Daily!$A$2:$A$91,"&gt;="&amp;$A9,Daily!$A$2:$A$91,"&lt;="&amp;$B9)</f>
        <v>30</v>
      </c>
      <c r="F9" s="11" t="n">
        <f aca="false">SUMIFS(Daily!$E$2:$E$91,Daily!$A$2:$A$91,"&gt;="&amp;$A9,Daily!$A$2:$A$91,"&lt;="&amp;$B9)</f>
        <v>26</v>
      </c>
      <c r="G9" s="11" t="n">
        <f aca="false">SUMIFS(Daily!$F$2:$F$91,Daily!$A$2:$A$91,"&gt;="&amp;$A9,Daily!$A$2:$A$91,"&lt;="&amp;$B9)</f>
        <v>12</v>
      </c>
      <c r="H9" s="12" t="n">
        <f aca="false">IF(F9=0,"",SUMIFS(Intentions!$K$2:$K$365,Intentions!$B$2:$B$365,"&gt;="&amp;$A9,Intentions!$B$2:$B$365,"&lt;="&amp;$B9)/F9)</f>
        <v>0.461538461538462</v>
      </c>
      <c r="I9" s="10" t="n">
        <f aca="false">SUMIFS(Daily!$I$2:$I$91,Daily!$A$2:$A$91,"&gt;="&amp;$A9,Daily!$A$2:$A$91,"&lt;="&amp;$B9)/60</f>
        <v>7.93333333333333</v>
      </c>
      <c r="J9" s="10" t="n">
        <f aca="false">SUMIFS(Daily!$J$2:$J$91,Daily!$A$2:$A$91,"&gt;="&amp;$A9,Daily!$A$2:$A$91,"&lt;="&amp;$B9)/60</f>
        <v>1.13333333333333</v>
      </c>
      <c r="K9" s="10" t="n">
        <f aca="false">SUMIFS(Daily!$K$2:$K$91,Daily!$A$2:$A$91,"&gt;="&amp;$A9,Daily!$A$2:$A$91,"&lt;="&amp;$B9)/60</f>
        <v>0.4</v>
      </c>
      <c r="L9" s="10" t="n">
        <f aca="false">SUMIFS(Daily!$L$2:$L$91,Daily!$A$2:$A$91,"&gt;="&amp;$A9,Daily!$A$2:$A$91,"&lt;="&amp;$B9)/60</f>
        <v>2.88333333333333</v>
      </c>
      <c r="M9" s="10" t="n">
        <f aca="false">SUMIFS(Daily!$M$2:$M$91,Daily!$A$2:$A$91,"&gt;="&amp;$A9,Daily!$A$2:$A$91,"&lt;="&amp;$B9)/60</f>
        <v>0</v>
      </c>
      <c r="N9" s="10" t="n">
        <f aca="false">SUMIFS(Daily!$N$2:$N$91,Daily!$A$2:$A$91,"&gt;="&amp;$A9,Daily!$A$2:$A$91,"&lt;="&amp;$B9)/60</f>
        <v>1.26666666666667</v>
      </c>
      <c r="O9" s="10" t="n">
        <f aca="false">SUMIFS(Daily!$O$2:$O$91,Daily!$A$2:$A$91,"&gt;="&amp;$A9,Daily!$A$2:$A$91,"&lt;="&amp;$B9)/60</f>
        <v>0.25</v>
      </c>
      <c r="P9" s="10" t="n">
        <f aca="false">SUMIFS(Daily!$P$2:$P$91,Daily!$A$2:$A$91,"&gt;="&amp;$A9,Daily!$A$2:$A$91,"&lt;="&amp;$B9)/60</f>
        <v>2</v>
      </c>
      <c r="Q9" s="10" t="n">
        <f aca="false">IFERROR(AVERAGEIFS(Daily!$Q$2:$Q$91,Daily!$A$2:$A$91,"&gt;="&amp;$A9,Daily!$A$2:$A$91,"&lt;="&amp;$B9),"")</f>
        <v>7.11428571428571</v>
      </c>
      <c r="R9" s="18" t="n">
        <f aca="false">IFERROR(AVERAGEIFS(Daily!$S$2:$S$91,Daily!$A$2:$A$91,"&gt;="&amp;$A9,Daily!$A$2:$A$91,"&lt;="&amp;$B9),"")</f>
        <v>3</v>
      </c>
      <c r="S9" s="18" t="n">
        <f aca="false">IFERROR(AVERAGEIFS(Daily!$U$2:$U$91,Daily!$A$2:$A$91,"&gt;="&amp;$A9,Daily!$A$2:$A$91,"&lt;="&amp;$B9),"")</f>
        <v>3</v>
      </c>
      <c r="T9" s="10" t="n">
        <f aca="false">IFERROR(AVERAGEIFS(Intentions!$J$2:$J$365,Intentions!$B$2:$B$365,"&gt;="&amp;$A9,Intentions!$B$2:$B$365,"&lt;="&amp;$B9),"")</f>
        <v>-1.58333333333333</v>
      </c>
    </row>
    <row r="10" customFormat="false" ht="15" hidden="false" customHeight="false" outlineLevel="0" collapsed="false">
      <c r="A10" s="15" t="n">
        <v>46272</v>
      </c>
      <c r="B10" s="15" t="n">
        <f aca="false">A10+6</f>
        <v>46278</v>
      </c>
      <c r="C10" s="11" t="n">
        <f aca="false">COUNTIFS(Daily!$A$2:$A$91,"&gt;="&amp;$A10,Daily!$A$2:$A$91,"&lt;="&amp;$B10,Daily!$C$2:$C$91,"Yes")</f>
        <v>5</v>
      </c>
      <c r="D10" s="12" t="n">
        <f aca="false">IFERROR(C10/COUNTIFS(Daily!$A$2:$A$91,"&gt;="&amp;$A10,Daily!$A$2:$A$91,"&lt;="&amp;$B10),"")</f>
        <v>0.714285714285714</v>
      </c>
      <c r="E10" s="11" t="n">
        <f aca="false">SUMIFS(Daily!$D$2:$D$91,Daily!$A$2:$A$91,"&gt;="&amp;$A10,Daily!$A$2:$A$91,"&lt;="&amp;$B10)</f>
        <v>23</v>
      </c>
      <c r="F10" s="11" t="n">
        <f aca="false">SUMIFS(Daily!$E$2:$E$91,Daily!$A$2:$A$91,"&gt;="&amp;$A10,Daily!$A$2:$A$91,"&lt;="&amp;$B10)</f>
        <v>23</v>
      </c>
      <c r="G10" s="11" t="n">
        <f aca="false">SUMIFS(Daily!$F$2:$F$91,Daily!$A$2:$A$91,"&gt;="&amp;$A10,Daily!$A$2:$A$91,"&lt;="&amp;$B10)</f>
        <v>9</v>
      </c>
      <c r="H10" s="12" t="n">
        <f aca="false">IF(F10=0,"",SUMIFS(Intentions!$K$2:$K$365,Intentions!$B$2:$B$365,"&gt;="&amp;$A10,Intentions!$B$2:$B$365,"&lt;="&amp;$B10)/F10)</f>
        <v>0.304347826086957</v>
      </c>
      <c r="I10" s="10" t="n">
        <f aca="false">SUMIFS(Daily!$I$2:$I$91,Daily!$A$2:$A$91,"&gt;="&amp;$A10,Daily!$A$2:$A$91,"&lt;="&amp;$B10)/60</f>
        <v>9.45</v>
      </c>
      <c r="J10" s="10" t="n">
        <f aca="false">SUMIFS(Daily!$J$2:$J$91,Daily!$A$2:$A$91,"&gt;="&amp;$A10,Daily!$A$2:$A$91,"&lt;="&amp;$B10)/60</f>
        <v>0.5</v>
      </c>
      <c r="K10" s="10" t="n">
        <f aca="false">SUMIFS(Daily!$K$2:$K$91,Daily!$A$2:$A$91,"&gt;="&amp;$A10,Daily!$A$2:$A$91,"&lt;="&amp;$B10)/60</f>
        <v>1.15</v>
      </c>
      <c r="L10" s="10" t="n">
        <f aca="false">SUMIFS(Daily!$L$2:$L$91,Daily!$A$2:$A$91,"&gt;="&amp;$A10,Daily!$A$2:$A$91,"&lt;="&amp;$B10)/60</f>
        <v>4.2</v>
      </c>
      <c r="M10" s="10" t="n">
        <f aca="false">SUMIFS(Daily!$M$2:$M$91,Daily!$A$2:$A$91,"&gt;="&amp;$A10,Daily!$A$2:$A$91,"&lt;="&amp;$B10)/60</f>
        <v>0</v>
      </c>
      <c r="N10" s="10" t="n">
        <f aca="false">SUMIFS(Daily!$N$2:$N$91,Daily!$A$2:$A$91,"&gt;="&amp;$A10,Daily!$A$2:$A$91,"&lt;="&amp;$B10)/60</f>
        <v>0</v>
      </c>
      <c r="O10" s="10" t="n">
        <f aca="false">SUMIFS(Daily!$O$2:$O$91,Daily!$A$2:$A$91,"&gt;="&amp;$A10,Daily!$A$2:$A$91,"&lt;="&amp;$B10)/60</f>
        <v>0.6</v>
      </c>
      <c r="P10" s="10" t="n">
        <f aca="false">SUMIFS(Daily!$P$2:$P$91,Daily!$A$2:$A$91,"&gt;="&amp;$A10,Daily!$A$2:$A$91,"&lt;="&amp;$B10)/60</f>
        <v>3</v>
      </c>
      <c r="Q10" s="10" t="n">
        <f aca="false">IFERROR(AVERAGEIFS(Daily!$Q$2:$Q$91,Daily!$A$2:$A$91,"&gt;="&amp;$A10,Daily!$A$2:$A$91,"&lt;="&amp;$B10),"")</f>
        <v>6.72</v>
      </c>
      <c r="R10" s="18" t="n">
        <f aca="false">IFERROR(AVERAGEIFS(Daily!$S$2:$S$91,Daily!$A$2:$A$91,"&gt;="&amp;$A10,Daily!$A$2:$A$91,"&lt;="&amp;$B10),"")</f>
        <v>3.2</v>
      </c>
      <c r="S10" s="18" t="n">
        <f aca="false">IFERROR(AVERAGEIFS(Daily!$U$2:$U$91,Daily!$A$2:$A$91,"&gt;="&amp;$A10,Daily!$A$2:$A$91,"&lt;="&amp;$B10),"")</f>
        <v>3.4</v>
      </c>
      <c r="T10" s="10" t="n">
        <f aca="false">IFERROR(AVERAGEIFS(Intentions!$J$2:$J$365,Intentions!$B$2:$B$365,"&gt;="&amp;$A10,Intentions!$B$2:$B$365,"&lt;="&amp;$B10),"")</f>
        <v>-0.888888888888889</v>
      </c>
    </row>
    <row r="11" customFormat="false" ht="15" hidden="false" customHeight="false" outlineLevel="0" collapsed="false">
      <c r="A11" s="15" t="n">
        <v>46279</v>
      </c>
      <c r="B11" s="15" t="n">
        <f aca="false">A11+6</f>
        <v>46285</v>
      </c>
      <c r="C11" s="11" t="n">
        <f aca="false">COUNTIFS(Daily!$A$2:$A$91,"&gt;="&amp;$A11,Daily!$A$2:$A$91,"&lt;="&amp;$B11,Daily!$C$2:$C$91,"Yes")</f>
        <v>7</v>
      </c>
      <c r="D11" s="12" t="n">
        <f aca="false">IFERROR(C11/COUNTIFS(Daily!$A$2:$A$91,"&gt;="&amp;$A11,Daily!$A$2:$A$91,"&lt;="&amp;$B11),"")</f>
        <v>1</v>
      </c>
      <c r="E11" s="11" t="n">
        <f aca="false">SUMIFS(Daily!$D$2:$D$91,Daily!$A$2:$A$91,"&gt;="&amp;$A11,Daily!$A$2:$A$91,"&lt;="&amp;$B11)</f>
        <v>33</v>
      </c>
      <c r="F11" s="11" t="n">
        <f aca="false">SUMIFS(Daily!$E$2:$E$91,Daily!$A$2:$A$91,"&gt;="&amp;$A11,Daily!$A$2:$A$91,"&lt;="&amp;$B11)</f>
        <v>33</v>
      </c>
      <c r="G11" s="11" t="n">
        <f aca="false">SUMIFS(Daily!$F$2:$F$91,Daily!$A$2:$A$91,"&gt;="&amp;$A11,Daily!$A$2:$A$91,"&lt;="&amp;$B11)</f>
        <v>16</v>
      </c>
      <c r="H11" s="12" t="n">
        <f aca="false">IF(F11=0,"",SUMIFS(Intentions!$K$2:$K$365,Intentions!$B$2:$B$365,"&gt;="&amp;$A11,Intentions!$B$2:$B$365,"&lt;="&amp;$B11)/F11)</f>
        <v>0.454545454545455</v>
      </c>
      <c r="I11" s="10" t="n">
        <f aca="false">SUMIFS(Daily!$I$2:$I$91,Daily!$A$2:$A$91,"&gt;="&amp;$A11,Daily!$A$2:$A$91,"&lt;="&amp;$B11)/60</f>
        <v>18.6666666666667</v>
      </c>
      <c r="J11" s="10" t="n">
        <f aca="false">SUMIFS(Daily!$J$2:$J$91,Daily!$A$2:$A$91,"&gt;="&amp;$A11,Daily!$A$2:$A$91,"&lt;="&amp;$B11)/60</f>
        <v>1.4</v>
      </c>
      <c r="K11" s="10" t="n">
        <f aca="false">SUMIFS(Daily!$K$2:$K$91,Daily!$A$2:$A$91,"&gt;="&amp;$A11,Daily!$A$2:$A$91,"&lt;="&amp;$B11)/60</f>
        <v>0.633333333333333</v>
      </c>
      <c r="L11" s="10" t="n">
        <f aca="false">SUMIFS(Daily!$L$2:$L$91,Daily!$A$2:$A$91,"&gt;="&amp;$A11,Daily!$A$2:$A$91,"&lt;="&amp;$B11)/60</f>
        <v>7.65</v>
      </c>
      <c r="M11" s="10" t="n">
        <f aca="false">SUMIFS(Daily!$M$2:$M$91,Daily!$A$2:$A$91,"&gt;="&amp;$A11,Daily!$A$2:$A$91,"&lt;="&amp;$B11)/60</f>
        <v>1.91666666666667</v>
      </c>
      <c r="N11" s="10" t="n">
        <f aca="false">SUMIFS(Daily!$N$2:$N$91,Daily!$A$2:$A$91,"&gt;="&amp;$A11,Daily!$A$2:$A$91,"&lt;="&amp;$B11)/60</f>
        <v>0.3</v>
      </c>
      <c r="O11" s="10" t="n">
        <f aca="false">SUMIFS(Daily!$O$2:$O$91,Daily!$A$2:$A$91,"&gt;="&amp;$A11,Daily!$A$2:$A$91,"&lt;="&amp;$B11)/60</f>
        <v>0</v>
      </c>
      <c r="P11" s="10" t="n">
        <f aca="false">SUMIFS(Daily!$P$2:$P$91,Daily!$A$2:$A$91,"&gt;="&amp;$A11,Daily!$A$2:$A$91,"&lt;="&amp;$B11)/60</f>
        <v>6.76666666666667</v>
      </c>
      <c r="Q11" s="10" t="n">
        <f aca="false">IFERROR(AVERAGEIFS(Daily!$Q$2:$Q$91,Daily!$A$2:$A$91,"&gt;="&amp;$A11,Daily!$A$2:$A$91,"&lt;="&amp;$B11),"")</f>
        <v>6.65714285714286</v>
      </c>
      <c r="R11" s="18" t="n">
        <f aca="false">IFERROR(AVERAGEIFS(Daily!$S$2:$S$91,Daily!$A$2:$A$91,"&gt;="&amp;$A11,Daily!$A$2:$A$91,"&lt;="&amp;$B11),"")</f>
        <v>2.71428571428571</v>
      </c>
      <c r="S11" s="18" t="n">
        <f aca="false">IFERROR(AVERAGEIFS(Daily!$U$2:$U$91,Daily!$A$2:$A$91,"&gt;="&amp;$A11,Daily!$A$2:$A$91,"&lt;="&amp;$B11),"")</f>
        <v>2.85714285714286</v>
      </c>
      <c r="T11" s="10" t="n">
        <f aca="false">IFERROR(AVERAGEIFS(Intentions!$J$2:$J$365,Intentions!$B$2:$B$365,"&gt;="&amp;$A11,Intentions!$B$2:$B$365,"&lt;="&amp;$B11),"")</f>
        <v>2.5</v>
      </c>
    </row>
    <row r="12" customFormat="false" ht="15" hidden="false" customHeight="false" outlineLevel="0" collapsed="false">
      <c r="A12" s="15" t="n">
        <v>46286</v>
      </c>
      <c r="B12" s="15" t="n">
        <f aca="false">A12+6</f>
        <v>46292</v>
      </c>
      <c r="C12" s="11" t="n">
        <f aca="false">COUNTIFS(Daily!$A$2:$A$91,"&gt;="&amp;$A12,Daily!$A$2:$A$91,"&lt;="&amp;$B12,Daily!$C$2:$C$91,"Yes")</f>
        <v>6</v>
      </c>
      <c r="D12" s="12" t="n">
        <f aca="false">IFERROR(C12/COUNTIFS(Daily!$A$2:$A$91,"&gt;="&amp;$A12,Daily!$A$2:$A$91,"&lt;="&amp;$B12),"")</f>
        <v>0.857142857142857</v>
      </c>
      <c r="E12" s="11" t="n">
        <f aca="false">SUMIFS(Daily!$D$2:$D$91,Daily!$A$2:$A$91,"&gt;="&amp;$A12,Daily!$A$2:$A$91,"&lt;="&amp;$B12)</f>
        <v>21</v>
      </c>
      <c r="F12" s="11" t="n">
        <f aca="false">SUMIFS(Daily!$E$2:$E$91,Daily!$A$2:$A$91,"&gt;="&amp;$A12,Daily!$A$2:$A$91,"&lt;="&amp;$B12)</f>
        <v>21</v>
      </c>
      <c r="G12" s="11" t="n">
        <f aca="false">SUMIFS(Daily!$F$2:$F$91,Daily!$A$2:$A$91,"&gt;="&amp;$A12,Daily!$A$2:$A$91,"&lt;="&amp;$B12)</f>
        <v>11</v>
      </c>
      <c r="H12" s="12" t="n">
        <f aca="false">IF(F12=0,"",SUMIFS(Intentions!$K$2:$K$365,Intentions!$B$2:$B$365,"&gt;="&amp;$A12,Intentions!$B$2:$B$365,"&lt;="&amp;$B12)/F12)</f>
        <v>0.5</v>
      </c>
      <c r="I12" s="10" t="n">
        <f aca="false">SUMIFS(Daily!$I$2:$I$91,Daily!$A$2:$A$91,"&gt;="&amp;$A12,Daily!$A$2:$A$91,"&lt;="&amp;$B12)/60</f>
        <v>11.8666666666667</v>
      </c>
      <c r="J12" s="10" t="n">
        <f aca="false">SUMIFS(Daily!$J$2:$J$91,Daily!$A$2:$A$91,"&gt;="&amp;$A12,Daily!$A$2:$A$91,"&lt;="&amp;$B12)/60</f>
        <v>1.28333333333333</v>
      </c>
      <c r="K12" s="10" t="n">
        <f aca="false">SUMIFS(Daily!$K$2:$K$91,Daily!$A$2:$A$91,"&gt;="&amp;$A12,Daily!$A$2:$A$91,"&lt;="&amp;$B12)/60</f>
        <v>0.583333333333333</v>
      </c>
      <c r="L12" s="10" t="n">
        <f aca="false">SUMIFS(Daily!$L$2:$L$91,Daily!$A$2:$A$91,"&gt;="&amp;$A12,Daily!$A$2:$A$91,"&lt;="&amp;$B12)/60</f>
        <v>5.73333333333333</v>
      </c>
      <c r="M12" s="10" t="n">
        <f aca="false">SUMIFS(Daily!$M$2:$M$91,Daily!$A$2:$A$91,"&gt;="&amp;$A12,Daily!$A$2:$A$91,"&lt;="&amp;$B12)/60</f>
        <v>0</v>
      </c>
      <c r="N12" s="10" t="n">
        <f aca="false">SUMIFS(Daily!$N$2:$N$91,Daily!$A$2:$A$91,"&gt;="&amp;$A12,Daily!$A$2:$A$91,"&lt;="&amp;$B12)/60</f>
        <v>0.25</v>
      </c>
      <c r="O12" s="10" t="n">
        <f aca="false">SUMIFS(Daily!$O$2:$O$91,Daily!$A$2:$A$91,"&gt;="&amp;$A12,Daily!$A$2:$A$91,"&lt;="&amp;$B12)/60</f>
        <v>0</v>
      </c>
      <c r="P12" s="10" t="n">
        <f aca="false">SUMIFS(Daily!$P$2:$P$91,Daily!$A$2:$A$91,"&gt;="&amp;$A12,Daily!$A$2:$A$91,"&lt;="&amp;$B12)/60</f>
        <v>4.01666666666667</v>
      </c>
      <c r="Q12" s="10" t="n">
        <f aca="false">IFERROR(AVERAGEIFS(Daily!$Q$2:$Q$91,Daily!$A$2:$A$91,"&gt;="&amp;$A12,Daily!$A$2:$A$91,"&lt;="&amp;$B12),"")</f>
        <v>6.9</v>
      </c>
      <c r="R12" s="18" t="n">
        <f aca="false">IFERROR(AVERAGEIFS(Daily!$S$2:$S$91,Daily!$A$2:$A$91,"&gt;="&amp;$A12,Daily!$A$2:$A$91,"&lt;="&amp;$B12),"")</f>
        <v>3.5</v>
      </c>
      <c r="S12" s="18" t="n">
        <f aca="false">IFERROR(AVERAGEIFS(Daily!$U$2:$U$91,Daily!$A$2:$A$91,"&gt;="&amp;$A12,Daily!$A$2:$A$91,"&lt;="&amp;$B12),"")</f>
        <v>3.33333333333333</v>
      </c>
      <c r="T12" s="10" t="n">
        <f aca="false">IFERROR(AVERAGEIFS(Intentions!$J$2:$J$365,Intentions!$B$2:$B$365,"&gt;="&amp;$A12,Intentions!$B$2:$B$365,"&lt;="&amp;$B12),"")</f>
        <v>8.81818181818182</v>
      </c>
    </row>
    <row r="13" customFormat="false" ht="15" hidden="false" customHeight="false" outlineLevel="0" collapsed="false">
      <c r="A13" s="15" t="n">
        <v>46293</v>
      </c>
      <c r="B13" s="15" t="n">
        <f aca="false">A13+6</f>
        <v>46299</v>
      </c>
      <c r="C13" s="11" t="n">
        <f aca="false">COUNTIFS(Daily!$A$2:$A$91,"&gt;="&amp;$A13,Daily!$A$2:$A$91,"&lt;="&amp;$B13,Daily!$C$2:$C$91,"Yes")</f>
        <v>7</v>
      </c>
      <c r="D13" s="12" t="n">
        <f aca="false">IFERROR(C13/COUNTIFS(Daily!$A$2:$A$91,"&gt;="&amp;$A13,Daily!$A$2:$A$91,"&lt;="&amp;$B13),"")</f>
        <v>1</v>
      </c>
      <c r="E13" s="11" t="n">
        <f aca="false">SUMIFS(Daily!$D$2:$D$91,Daily!$A$2:$A$91,"&gt;="&amp;$A13,Daily!$A$2:$A$91,"&lt;="&amp;$B13)</f>
        <v>34</v>
      </c>
      <c r="F13" s="11" t="n">
        <f aca="false">SUMIFS(Daily!$E$2:$E$91,Daily!$A$2:$A$91,"&gt;="&amp;$A13,Daily!$A$2:$A$91,"&lt;="&amp;$B13)</f>
        <v>34</v>
      </c>
      <c r="G13" s="11" t="n">
        <f aca="false">SUMIFS(Daily!$F$2:$F$91,Daily!$A$2:$A$91,"&gt;="&amp;$A13,Daily!$A$2:$A$91,"&lt;="&amp;$B13)</f>
        <v>17</v>
      </c>
      <c r="H13" s="12" t="n">
        <f aca="false">IF(F13=0,"",SUMIFS(Intentions!$K$2:$K$365,Intentions!$B$2:$B$365,"&gt;="&amp;$A13,Intentions!$B$2:$B$365,"&lt;="&amp;$B13)/F13)</f>
        <v>0.455882352941176</v>
      </c>
      <c r="I13" s="10" t="n">
        <f aca="false">SUMIFS(Daily!$I$2:$I$91,Daily!$A$2:$A$91,"&gt;="&amp;$A13,Daily!$A$2:$A$91,"&lt;="&amp;$B13)/60</f>
        <v>15.8</v>
      </c>
      <c r="J13" s="10" t="n">
        <f aca="false">SUMIFS(Daily!$J$2:$J$91,Daily!$A$2:$A$91,"&gt;="&amp;$A13,Daily!$A$2:$A$91,"&lt;="&amp;$B13)/60</f>
        <v>0.916666666666667</v>
      </c>
      <c r="K13" s="10" t="n">
        <f aca="false">SUMIFS(Daily!$K$2:$K$91,Daily!$A$2:$A$91,"&gt;="&amp;$A13,Daily!$A$2:$A$91,"&lt;="&amp;$B13)/60</f>
        <v>0.766666666666667</v>
      </c>
      <c r="L13" s="10" t="n">
        <f aca="false">SUMIFS(Daily!$L$2:$L$91,Daily!$A$2:$A$91,"&gt;="&amp;$A13,Daily!$A$2:$A$91,"&lt;="&amp;$B13)/60</f>
        <v>4.96666666666667</v>
      </c>
      <c r="M13" s="10" t="n">
        <f aca="false">SUMIFS(Daily!$M$2:$M$91,Daily!$A$2:$A$91,"&gt;="&amp;$A13,Daily!$A$2:$A$91,"&lt;="&amp;$B13)/60</f>
        <v>3.08333333333333</v>
      </c>
      <c r="N13" s="10" t="n">
        <f aca="false">SUMIFS(Daily!$N$2:$N$91,Daily!$A$2:$A$91,"&gt;="&amp;$A13,Daily!$A$2:$A$91,"&lt;="&amp;$B13)/60</f>
        <v>0.7</v>
      </c>
      <c r="O13" s="10" t="n">
        <f aca="false">SUMIFS(Daily!$O$2:$O$91,Daily!$A$2:$A$91,"&gt;="&amp;$A13,Daily!$A$2:$A$91,"&lt;="&amp;$B13)/60</f>
        <v>0.366666666666667</v>
      </c>
      <c r="P13" s="10" t="n">
        <f aca="false">SUMIFS(Daily!$P$2:$P$91,Daily!$A$2:$A$91,"&gt;="&amp;$A13,Daily!$A$2:$A$91,"&lt;="&amp;$B13)/60</f>
        <v>5</v>
      </c>
      <c r="Q13" s="10" t="n">
        <f aca="false">IFERROR(AVERAGEIFS(Daily!$Q$2:$Q$91,Daily!$A$2:$A$91,"&gt;="&amp;$A13,Daily!$A$2:$A$91,"&lt;="&amp;$B13),"")</f>
        <v>7.01428571428571</v>
      </c>
      <c r="R13" s="18" t="n">
        <f aca="false">IFERROR(AVERAGEIFS(Daily!$S$2:$S$91,Daily!$A$2:$A$91,"&gt;="&amp;$A13,Daily!$A$2:$A$91,"&lt;="&amp;$B13),"")</f>
        <v>3.14285714285714</v>
      </c>
      <c r="S13" s="18" t="n">
        <f aca="false">IFERROR(AVERAGEIFS(Daily!$U$2:$U$91,Daily!$A$2:$A$91,"&gt;="&amp;$A13,Daily!$A$2:$A$91,"&lt;="&amp;$B13),"")</f>
        <v>3.28571428571429</v>
      </c>
      <c r="T13" s="10" t="n">
        <f aca="false">IFERROR(AVERAGEIFS(Intentions!$J$2:$J$365,Intentions!$B$2:$B$365,"&gt;="&amp;$A13,Intentions!$B$2:$B$365,"&lt;="&amp;$B13),"")</f>
        <v>-1.29411764705882</v>
      </c>
    </row>
    <row r="14" customFormat="false" ht="15" hidden="false" customHeight="false" outlineLevel="0" collapsed="false">
      <c r="A14" s="15" t="n">
        <v>46300</v>
      </c>
      <c r="B14" s="15" t="n">
        <f aca="false">A14+6</f>
        <v>46306</v>
      </c>
      <c r="C14" s="11" t="n">
        <f aca="false">COUNTIFS(Daily!$A$2:$A$91,"&gt;="&amp;$A14,Daily!$A$2:$A$91,"&lt;="&amp;$B14,Daily!$C$2:$C$91,"Yes")</f>
        <v>6</v>
      </c>
      <c r="D14" s="12" t="n">
        <f aca="false">IFERROR(C14/COUNTIFS(Daily!$A$2:$A$91,"&gt;="&amp;$A14,Daily!$A$2:$A$91,"&lt;="&amp;$B14),"")</f>
        <v>0.857142857142857</v>
      </c>
      <c r="E14" s="11" t="n">
        <f aca="false">SUMIFS(Daily!$D$2:$D$91,Daily!$A$2:$A$91,"&gt;="&amp;$A14,Daily!$A$2:$A$91,"&lt;="&amp;$B14)</f>
        <v>24</v>
      </c>
      <c r="F14" s="11" t="n">
        <f aca="false">SUMIFS(Daily!$E$2:$E$91,Daily!$A$2:$A$91,"&gt;="&amp;$A14,Daily!$A$2:$A$91,"&lt;="&amp;$B14)</f>
        <v>24</v>
      </c>
      <c r="G14" s="11" t="n">
        <f aca="false">SUMIFS(Daily!$F$2:$F$91,Daily!$A$2:$A$91,"&gt;="&amp;$A14,Daily!$A$2:$A$91,"&lt;="&amp;$B14)</f>
        <v>12</v>
      </c>
      <c r="H14" s="12" t="n">
        <f aca="false">IF(F14=0,"",SUMIFS(Intentions!$K$2:$K$365,Intentions!$B$2:$B$365,"&gt;="&amp;$A14,Intentions!$B$2:$B$365,"&lt;="&amp;$B14)/F14)</f>
        <v>0.458333333333333</v>
      </c>
      <c r="I14" s="10" t="n">
        <f aca="false">SUMIFS(Daily!$I$2:$I$91,Daily!$A$2:$A$91,"&gt;="&amp;$A14,Daily!$A$2:$A$91,"&lt;="&amp;$B14)/60</f>
        <v>14.4333333333333</v>
      </c>
      <c r="J14" s="10" t="n">
        <f aca="false">SUMIFS(Daily!$J$2:$J$91,Daily!$A$2:$A$91,"&gt;="&amp;$A14,Daily!$A$2:$A$91,"&lt;="&amp;$B14)/60</f>
        <v>1.6</v>
      </c>
      <c r="K14" s="10" t="n">
        <f aca="false">SUMIFS(Daily!$K$2:$K$91,Daily!$A$2:$A$91,"&gt;="&amp;$A14,Daily!$A$2:$A$91,"&lt;="&amp;$B14)/60</f>
        <v>0.35</v>
      </c>
      <c r="L14" s="10" t="n">
        <f aca="false">SUMIFS(Daily!$L$2:$L$91,Daily!$A$2:$A$91,"&gt;="&amp;$A14,Daily!$A$2:$A$91,"&lt;="&amp;$B14)/60</f>
        <v>11.1833333333333</v>
      </c>
      <c r="M14" s="10" t="n">
        <f aca="false">SUMIFS(Daily!$M$2:$M$91,Daily!$A$2:$A$91,"&gt;="&amp;$A14,Daily!$A$2:$A$91,"&lt;="&amp;$B14)/60</f>
        <v>0</v>
      </c>
      <c r="N14" s="10" t="n">
        <f aca="false">SUMIFS(Daily!$N$2:$N$91,Daily!$A$2:$A$91,"&gt;="&amp;$A14,Daily!$A$2:$A$91,"&lt;="&amp;$B14)/60</f>
        <v>0.3</v>
      </c>
      <c r="O14" s="10" t="n">
        <f aca="false">SUMIFS(Daily!$O$2:$O$91,Daily!$A$2:$A$91,"&gt;="&amp;$A14,Daily!$A$2:$A$91,"&lt;="&amp;$B14)/60</f>
        <v>0</v>
      </c>
      <c r="P14" s="10" t="n">
        <f aca="false">SUMIFS(Daily!$P$2:$P$91,Daily!$A$2:$A$91,"&gt;="&amp;$A14,Daily!$A$2:$A$91,"&lt;="&amp;$B14)/60</f>
        <v>1</v>
      </c>
      <c r="Q14" s="10" t="n">
        <f aca="false">IFERROR(AVERAGEIFS(Daily!$Q$2:$Q$91,Daily!$A$2:$A$91,"&gt;="&amp;$A14,Daily!$A$2:$A$91,"&lt;="&amp;$B14),"")</f>
        <v>6.06666666666667</v>
      </c>
      <c r="R14" s="18" t="n">
        <f aca="false">IFERROR(AVERAGEIFS(Daily!$S$2:$S$91,Daily!$A$2:$A$91,"&gt;="&amp;$A14,Daily!$A$2:$A$91,"&lt;="&amp;$B14),"")</f>
        <v>2</v>
      </c>
      <c r="S14" s="18" t="n">
        <f aca="false">IFERROR(AVERAGEIFS(Daily!$U$2:$U$91,Daily!$A$2:$A$91,"&gt;="&amp;$A14,Daily!$A$2:$A$91,"&lt;="&amp;$B14),"")</f>
        <v>3.16666666666667</v>
      </c>
      <c r="T14" s="10" t="n">
        <f aca="false">IFERROR(AVERAGEIFS(Intentions!$J$2:$J$365,Intentions!$B$2:$B$365,"&gt;="&amp;$A14,Intentions!$B$2:$B$365,"&lt;="&amp;$B14),"")</f>
        <v>14.6666666666667</v>
      </c>
    </row>
    <row r="15" customFormat="false" ht="15" hidden="false" customHeight="false" outlineLevel="0" collapsed="false">
      <c r="A15" s="15" t="n">
        <v>46307</v>
      </c>
      <c r="B15" s="15" t="n">
        <f aca="false">A15+6</f>
        <v>46313</v>
      </c>
      <c r="C15" s="11" t="n">
        <f aca="false">COUNTIFS(Daily!$A$2:$A$91,"&gt;="&amp;$A15,Daily!$A$2:$A$91,"&lt;="&amp;$B15,Daily!$C$2:$C$91,"Yes")</f>
        <v>4</v>
      </c>
      <c r="D15" s="12" t="n">
        <f aca="false">IFERROR(C15/COUNTIFS(Daily!$A$2:$A$91,"&gt;="&amp;$A15,Daily!$A$2:$A$91,"&lt;="&amp;$B15),"")</f>
        <v>0.8</v>
      </c>
      <c r="E15" s="11" t="n">
        <f aca="false">SUMIFS(Daily!$D$2:$D$91,Daily!$A$2:$A$91,"&gt;="&amp;$A15,Daily!$A$2:$A$91,"&lt;="&amp;$B15)</f>
        <v>18</v>
      </c>
      <c r="F15" s="11" t="n">
        <f aca="false">SUMIFS(Daily!$E$2:$E$91,Daily!$A$2:$A$91,"&gt;="&amp;$A15,Daily!$A$2:$A$91,"&lt;="&amp;$B15)</f>
        <v>18</v>
      </c>
      <c r="G15" s="11" t="n">
        <f aca="false">SUMIFS(Daily!$F$2:$F$91,Daily!$A$2:$A$91,"&gt;="&amp;$A15,Daily!$A$2:$A$91,"&lt;="&amp;$B15)</f>
        <v>10</v>
      </c>
      <c r="H15" s="12" t="n">
        <f aca="false">IF(F15=0,"",SUMIFS(Intentions!$K$2:$K$365,Intentions!$B$2:$B$365,"&gt;="&amp;$A15,Intentions!$B$2:$B$365,"&lt;="&amp;$B15)/F15)</f>
        <v>0.5</v>
      </c>
      <c r="I15" s="10" t="n">
        <f aca="false">SUMIFS(Daily!$I$2:$I$91,Daily!$A$2:$A$91,"&gt;="&amp;$A15,Daily!$A$2:$A$91,"&lt;="&amp;$B15)/60</f>
        <v>9.3</v>
      </c>
      <c r="J15" s="10" t="n">
        <f aca="false">SUMIFS(Daily!$J$2:$J$91,Daily!$A$2:$A$91,"&gt;="&amp;$A15,Daily!$A$2:$A$91,"&lt;="&amp;$B15)/60</f>
        <v>0.816666666666667</v>
      </c>
      <c r="K15" s="10" t="n">
        <f aca="false">SUMIFS(Daily!$K$2:$K$91,Daily!$A$2:$A$91,"&gt;="&amp;$A15,Daily!$A$2:$A$91,"&lt;="&amp;$B15)/60</f>
        <v>0</v>
      </c>
      <c r="L15" s="10" t="n">
        <f aca="false">SUMIFS(Daily!$L$2:$L$91,Daily!$A$2:$A$91,"&gt;="&amp;$A15,Daily!$A$2:$A$91,"&lt;="&amp;$B15)/60</f>
        <v>7.36666666666667</v>
      </c>
      <c r="M15" s="10" t="n">
        <f aca="false">SUMIFS(Daily!$M$2:$M$91,Daily!$A$2:$A$91,"&gt;="&amp;$A15,Daily!$A$2:$A$91,"&lt;="&amp;$B15)/60</f>
        <v>0</v>
      </c>
      <c r="N15" s="10" t="n">
        <f aca="false">SUMIFS(Daily!$N$2:$N$91,Daily!$A$2:$A$91,"&gt;="&amp;$A15,Daily!$A$2:$A$91,"&lt;="&amp;$B15)/60</f>
        <v>0</v>
      </c>
      <c r="O15" s="10" t="n">
        <f aca="false">SUMIFS(Daily!$O$2:$O$91,Daily!$A$2:$A$91,"&gt;="&amp;$A15,Daily!$A$2:$A$91,"&lt;="&amp;$B15)/60</f>
        <v>1.11666666666667</v>
      </c>
      <c r="P15" s="10" t="n">
        <f aca="false">SUMIFS(Daily!$P$2:$P$91,Daily!$A$2:$A$91,"&gt;="&amp;$A15,Daily!$A$2:$A$91,"&lt;="&amp;$B15)/60</f>
        <v>0</v>
      </c>
      <c r="Q15" s="10" t="n">
        <f aca="false">IFERROR(AVERAGEIFS(Daily!$Q$2:$Q$91,Daily!$A$2:$A$91,"&gt;="&amp;$A15,Daily!$A$2:$A$91,"&lt;="&amp;$B15),"")</f>
        <v>7.125</v>
      </c>
      <c r="R15" s="18" t="n">
        <f aca="false">IFERROR(AVERAGEIFS(Daily!$S$2:$S$91,Daily!$A$2:$A$91,"&gt;="&amp;$A15,Daily!$A$2:$A$91,"&lt;="&amp;$B15),"")</f>
        <v>2.25</v>
      </c>
      <c r="S15" s="18" t="n">
        <f aca="false">IFERROR(AVERAGEIFS(Daily!$U$2:$U$91,Daily!$A$2:$A$91,"&gt;="&amp;$A15,Daily!$A$2:$A$91,"&lt;="&amp;$B15),"")</f>
        <v>3.5</v>
      </c>
      <c r="T15" s="10" t="n">
        <f aca="false">IFERROR(AVERAGEIFS(Intentions!$J$2:$J$365,Intentions!$B$2:$B$365,"&gt;="&amp;$A15,Intentions!$B$2:$B$365,"&lt;="&amp;$B15),"")</f>
        <v>8.8</v>
      </c>
    </row>
  </sheetData>
  <autoFilter ref="A1:T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E00"/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9" min="9" style="0" width="11"/>
    <col collapsed="false" customWidth="true" hidden="false" outlineLevel="0" max="20" min="20" style="0" width="14"/>
  </cols>
  <sheetData>
    <row r="1" customFormat="false" ht="30" hidden="false" customHeight="true" outlineLevel="0" collapsed="false">
      <c r="A1" s="9" t="s">
        <v>90</v>
      </c>
      <c r="B1" s="9" t="s">
        <v>91</v>
      </c>
      <c r="C1" s="9" t="s">
        <v>4</v>
      </c>
      <c r="D1" s="9" t="s">
        <v>5</v>
      </c>
      <c r="E1" s="9" t="s">
        <v>27</v>
      </c>
      <c r="F1" s="9" t="s">
        <v>54</v>
      </c>
      <c r="G1" s="9" t="s">
        <v>55</v>
      </c>
      <c r="H1" s="9" t="s">
        <v>9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  <c r="R1" s="9" t="s">
        <v>101</v>
      </c>
      <c r="S1" s="9" t="s">
        <v>102</v>
      </c>
      <c r="T1" s="9" t="s">
        <v>103</v>
      </c>
    </row>
    <row r="2" customFormat="false" ht="15" hidden="false" customHeight="false" outlineLevel="0" collapsed="false">
      <c r="A2" s="15" t="n">
        <v>46204</v>
      </c>
      <c r="B2" s="15" t="n">
        <f aca="false">EOMONTH(A2,0)</f>
        <v>46234</v>
      </c>
      <c r="C2" s="11" t="n">
        <f aca="false">COUNTIFS(Daily!$A$2:$A$91,"&gt;="&amp;$A2,Daily!$A$2:$A$91,"&lt;="&amp;$B2,Daily!$C$2:$C$91,"Yes")</f>
        <v>12</v>
      </c>
      <c r="D2" s="12" t="n">
        <f aca="false">IFERROR(C2/COUNTIFS(Daily!$A$2:$A$91,"&gt;="&amp;$A2,Daily!$A$2:$A$91,"&lt;="&amp;$B2),"")</f>
        <v>0.923076923076923</v>
      </c>
      <c r="E2" s="11" t="n">
        <f aca="false">SUMIFS(Daily!$D$2:$D$91,Daily!$A$2:$A$91,"&gt;="&amp;$A2,Daily!$A$2:$A$91,"&lt;="&amp;$B2)</f>
        <v>52</v>
      </c>
      <c r="F2" s="11" t="n">
        <f aca="false">SUMIFS(Daily!$E$2:$E$91,Daily!$A$2:$A$91,"&gt;="&amp;$A2,Daily!$A$2:$A$91,"&lt;="&amp;$B2)</f>
        <v>45</v>
      </c>
      <c r="G2" s="11" t="n">
        <f aca="false">SUMIFS(Daily!$F$2:$F$91,Daily!$A$2:$A$91,"&gt;="&amp;$A2,Daily!$A$2:$A$91,"&lt;="&amp;$B2)</f>
        <v>23</v>
      </c>
      <c r="H2" s="12" t="n">
        <f aca="false">IF(F2=0,"",SUMIFS(Intentions!$K$2:$K$365,Intentions!$B$2:$B$365,"&gt;="&amp;$A2,Intentions!$B$2:$B$365,"&lt;="&amp;$B2)/F2)</f>
        <v>0.466666666666667</v>
      </c>
      <c r="I2" s="10" t="n">
        <f aca="false">SUMIFS(Daily!$I$2:$I$91,Daily!$A$2:$A$91,"&gt;="&amp;$A2,Daily!$A$2:$A$91,"&lt;="&amp;$B2)/60</f>
        <v>24.0833333333333</v>
      </c>
      <c r="J2" s="10" t="n">
        <f aca="false">SUMIFS(Daily!$J$2:$J$91,Daily!$A$2:$A$91,"&gt;="&amp;$A2,Daily!$A$2:$A$91,"&lt;="&amp;$B2)/60</f>
        <v>1.23333333333333</v>
      </c>
      <c r="K2" s="10" t="n">
        <f aca="false">SUMIFS(Daily!$K$2:$K$91,Daily!$A$2:$A$91,"&gt;="&amp;$A2,Daily!$A$2:$A$91,"&lt;="&amp;$B2)/60</f>
        <v>1.96666666666667</v>
      </c>
      <c r="L2" s="10" t="n">
        <f aca="false">SUMIFS(Daily!$L$2:$L$91,Daily!$A$2:$A$91,"&gt;="&amp;$A2,Daily!$A$2:$A$91,"&lt;="&amp;$B2)/60</f>
        <v>12.3166666666667</v>
      </c>
      <c r="M2" s="10" t="n">
        <f aca="false">SUMIFS(Daily!$M$2:$M$91,Daily!$A$2:$A$91,"&gt;="&amp;$A2,Daily!$A$2:$A$91,"&lt;="&amp;$B2)/60</f>
        <v>1.8</v>
      </c>
      <c r="N2" s="10" t="n">
        <f aca="false">SUMIFS(Daily!$N$2:$N$91,Daily!$A$2:$A$91,"&gt;="&amp;$A2,Daily!$A$2:$A$91,"&lt;="&amp;$B2)/60</f>
        <v>0.65</v>
      </c>
      <c r="O2" s="10" t="n">
        <f aca="false">SUMIFS(Daily!$O$2:$O$91,Daily!$A$2:$A$91,"&gt;="&amp;$A2,Daily!$A$2:$A$91,"&lt;="&amp;$B2)/60</f>
        <v>0.616666666666667</v>
      </c>
      <c r="P2" s="10" t="n">
        <f aca="false">SUMIFS(Daily!$P$2:$P$91,Daily!$A$2:$A$91,"&gt;="&amp;$A2,Daily!$A$2:$A$91,"&lt;="&amp;$B2)/60</f>
        <v>5.5</v>
      </c>
      <c r="Q2" s="10" t="n">
        <f aca="false">IFERROR(AVERAGEIFS(Daily!$Q$2:$Q$91,Daily!$A$2:$A$91,"&gt;="&amp;$A2,Daily!$A$2:$A$91,"&lt;="&amp;$B2),"")</f>
        <v>7.26666666666667</v>
      </c>
      <c r="R2" s="18" t="n">
        <f aca="false">IFERROR(AVERAGEIFS(Daily!$S$2:$S$91,Daily!$A$2:$A$91,"&gt;="&amp;$A2,Daily!$A$2:$A$91,"&lt;="&amp;$B2),"")</f>
        <v>3.25</v>
      </c>
      <c r="S2" s="18" t="n">
        <f aca="false">IFERROR(AVERAGEIFS(Daily!$U$2:$U$91,Daily!$A$2:$A$91,"&gt;="&amp;$A2,Daily!$A$2:$A$91,"&lt;="&amp;$B2),"")</f>
        <v>3.33333333333333</v>
      </c>
      <c r="T2" s="10" t="n">
        <f aca="false">IFERROR(AVERAGEIFS(Intentions!$J$2:$J$365,Intentions!$B$2:$B$365,"&gt;="&amp;$A2,Intentions!$B$2:$B$365,"&lt;="&amp;$B2),"")</f>
        <v>3.04347826086957</v>
      </c>
    </row>
    <row r="3" customFormat="false" ht="15" hidden="false" customHeight="false" outlineLevel="0" collapsed="false">
      <c r="A3" s="15" t="n">
        <v>46235</v>
      </c>
      <c r="B3" s="15" t="n">
        <f aca="false">EOMONTH(A3,0)</f>
        <v>46265</v>
      </c>
      <c r="C3" s="11" t="n">
        <f aca="false">COUNTIFS(Daily!$A$2:$A$91,"&gt;="&amp;$A3,Daily!$A$2:$A$91,"&lt;="&amp;$B3,Daily!$C$2:$C$91,"Yes")</f>
        <v>29</v>
      </c>
      <c r="D3" s="12" t="n">
        <f aca="false">IFERROR(C3/COUNTIFS(Daily!$A$2:$A$91,"&gt;="&amp;$A3,Daily!$A$2:$A$91,"&lt;="&amp;$B3),"")</f>
        <v>0.935483870967742</v>
      </c>
      <c r="E3" s="11" t="n">
        <f aca="false">SUMIFS(Daily!$D$2:$D$91,Daily!$A$2:$A$91,"&gt;="&amp;$A3,Daily!$A$2:$A$91,"&lt;="&amp;$B3)</f>
        <v>135</v>
      </c>
      <c r="F3" s="11" t="n">
        <f aca="false">SUMIFS(Daily!$E$2:$E$91,Daily!$A$2:$A$91,"&gt;="&amp;$A3,Daily!$A$2:$A$91,"&lt;="&amp;$B3)</f>
        <v>135</v>
      </c>
      <c r="G3" s="11" t="n">
        <f aca="false">SUMIFS(Daily!$F$2:$F$91,Daily!$A$2:$A$91,"&gt;="&amp;$A3,Daily!$A$2:$A$91,"&lt;="&amp;$B3)</f>
        <v>61</v>
      </c>
      <c r="H3" s="12" t="n">
        <f aca="false">IF(F3=0,"",SUMIFS(Intentions!$K$2:$K$365,Intentions!$B$2:$B$365,"&gt;="&amp;$A3,Intentions!$B$2:$B$365,"&lt;="&amp;$B3)/F3)</f>
        <v>0.440740740740741</v>
      </c>
      <c r="I3" s="10" t="n">
        <f aca="false">SUMIFS(Daily!$I$2:$I$91,Daily!$A$2:$A$91,"&gt;="&amp;$A3,Daily!$A$2:$A$91,"&lt;="&amp;$B3)/60</f>
        <v>54.05</v>
      </c>
      <c r="J3" s="10" t="n">
        <f aca="false">SUMIFS(Daily!$J$2:$J$91,Daily!$A$2:$A$91,"&gt;="&amp;$A3,Daily!$A$2:$A$91,"&lt;="&amp;$B3)/60</f>
        <v>4.53333333333333</v>
      </c>
      <c r="K3" s="10" t="n">
        <f aca="false">SUMIFS(Daily!$K$2:$K$91,Daily!$A$2:$A$91,"&gt;="&amp;$A3,Daily!$A$2:$A$91,"&lt;="&amp;$B3)/60</f>
        <v>5.58333333333333</v>
      </c>
      <c r="L3" s="10" t="n">
        <f aca="false">SUMIFS(Daily!$L$2:$L$91,Daily!$A$2:$A$91,"&gt;="&amp;$A3,Daily!$A$2:$A$91,"&lt;="&amp;$B3)/60</f>
        <v>28.25</v>
      </c>
      <c r="M3" s="10" t="n">
        <f aca="false">SUMIFS(Daily!$M$2:$M$91,Daily!$A$2:$A$91,"&gt;="&amp;$A3,Daily!$A$2:$A$91,"&lt;="&amp;$B3)/60</f>
        <v>4.68333333333333</v>
      </c>
      <c r="N3" s="10" t="n">
        <f aca="false">SUMIFS(Daily!$N$2:$N$91,Daily!$A$2:$A$91,"&gt;="&amp;$A3,Daily!$A$2:$A$91,"&lt;="&amp;$B3)/60</f>
        <v>1.9</v>
      </c>
      <c r="O3" s="10" t="n">
        <f aca="false">SUMIFS(Daily!$O$2:$O$91,Daily!$A$2:$A$91,"&gt;="&amp;$A3,Daily!$A$2:$A$91,"&lt;="&amp;$B3)/60</f>
        <v>2.65</v>
      </c>
      <c r="P3" s="10" t="n">
        <f aca="false">SUMIFS(Daily!$P$2:$P$91,Daily!$A$2:$A$91,"&gt;="&amp;$A3,Daily!$A$2:$A$91,"&lt;="&amp;$B3)/60</f>
        <v>6.45</v>
      </c>
      <c r="Q3" s="10" t="n">
        <f aca="false">IFERROR(AVERAGEIFS(Daily!$Q$2:$Q$91,Daily!$A$2:$A$91,"&gt;="&amp;$A3,Daily!$A$2:$A$91,"&lt;="&amp;$B3),"")</f>
        <v>6.96896551724138</v>
      </c>
      <c r="R3" s="18" t="n">
        <f aca="false">IFERROR(AVERAGEIFS(Daily!$S$2:$S$91,Daily!$A$2:$A$91,"&gt;="&amp;$A3,Daily!$A$2:$A$91,"&lt;="&amp;$B3),"")</f>
        <v>3.13793103448276</v>
      </c>
      <c r="S3" s="18" t="n">
        <f aca="false">IFERROR(AVERAGEIFS(Daily!$U$2:$U$91,Daily!$A$2:$A$91,"&gt;="&amp;$A3,Daily!$A$2:$A$91,"&lt;="&amp;$B3),"")</f>
        <v>3.20689655172414</v>
      </c>
      <c r="T3" s="10" t="n">
        <f aca="false">IFERROR(AVERAGEIFS(Intentions!$J$2:$J$365,Intentions!$B$2:$B$365,"&gt;="&amp;$A3,Intentions!$B$2:$B$365,"&lt;="&amp;$B3),"")</f>
        <v>6.77049180327869</v>
      </c>
    </row>
    <row r="4" customFormat="false" ht="15" hidden="false" customHeight="false" outlineLevel="0" collapsed="false">
      <c r="A4" s="15" t="n">
        <v>46266</v>
      </c>
      <c r="B4" s="15" t="n">
        <f aca="false">EOMONTH(A4,0)</f>
        <v>46295</v>
      </c>
      <c r="C4" s="11" t="n">
        <f aca="false">COUNTIFS(Daily!$A$2:$A$91,"&gt;="&amp;$A4,Daily!$A$2:$A$91,"&lt;="&amp;$B4,Daily!$C$2:$C$91,"Yes")</f>
        <v>27</v>
      </c>
      <c r="D4" s="12" t="n">
        <f aca="false">IFERROR(C4/COUNTIFS(Daily!$A$2:$A$91,"&gt;="&amp;$A4,Daily!$A$2:$A$91,"&lt;="&amp;$B4),"")</f>
        <v>0.9</v>
      </c>
      <c r="E4" s="11" t="n">
        <f aca="false">SUMIFS(Daily!$D$2:$D$91,Daily!$A$2:$A$91,"&gt;="&amp;$A4,Daily!$A$2:$A$91,"&lt;="&amp;$B4)</f>
        <v>112</v>
      </c>
      <c r="F4" s="11" t="n">
        <f aca="false">SUMIFS(Daily!$E$2:$E$91,Daily!$A$2:$A$91,"&gt;="&amp;$A4,Daily!$A$2:$A$91,"&lt;="&amp;$B4)</f>
        <v>108</v>
      </c>
      <c r="G4" s="11" t="n">
        <f aca="false">SUMIFS(Daily!$F$2:$F$91,Daily!$A$2:$A$91,"&gt;="&amp;$A4,Daily!$A$2:$A$91,"&lt;="&amp;$B4)</f>
        <v>51</v>
      </c>
      <c r="H4" s="12" t="n">
        <f aca="false">IF(F4=0,"",SUMIFS(Intentions!$K$2:$K$365,Intentions!$B$2:$B$365,"&gt;="&amp;$A4,Intentions!$B$2:$B$365,"&lt;="&amp;$B4)/F4)</f>
        <v>0.430555555555556</v>
      </c>
      <c r="I4" s="10" t="n">
        <f aca="false">SUMIFS(Daily!$I$2:$I$91,Daily!$A$2:$A$91,"&gt;="&amp;$A4,Daily!$A$2:$A$91,"&lt;="&amp;$B4)/60</f>
        <v>52.7166666666667</v>
      </c>
      <c r="J4" s="10" t="n">
        <f aca="false">SUMIFS(Daily!$J$2:$J$91,Daily!$A$2:$A$91,"&gt;="&amp;$A4,Daily!$A$2:$A$91,"&lt;="&amp;$B4)/60</f>
        <v>4.25</v>
      </c>
      <c r="K4" s="10" t="n">
        <f aca="false">SUMIFS(Daily!$K$2:$K$91,Daily!$A$2:$A$91,"&gt;="&amp;$A4,Daily!$A$2:$A$91,"&lt;="&amp;$B4)/60</f>
        <v>2.36666666666667</v>
      </c>
      <c r="L4" s="10" t="n">
        <f aca="false">SUMIFS(Daily!$L$2:$L$91,Daily!$A$2:$A$91,"&gt;="&amp;$A4,Daily!$A$2:$A$91,"&lt;="&amp;$B4)/60</f>
        <v>23.8666666666667</v>
      </c>
      <c r="M4" s="10" t="n">
        <f aca="false">SUMIFS(Daily!$M$2:$M$91,Daily!$A$2:$A$91,"&gt;="&amp;$A4,Daily!$A$2:$A$91,"&lt;="&amp;$B4)/60</f>
        <v>3.43333333333333</v>
      </c>
      <c r="N4" s="10" t="n">
        <f aca="false">SUMIFS(Daily!$N$2:$N$91,Daily!$A$2:$A$91,"&gt;="&amp;$A4,Daily!$A$2:$A$91,"&lt;="&amp;$B4)/60</f>
        <v>2.16666666666667</v>
      </c>
      <c r="O4" s="10" t="n">
        <f aca="false">SUMIFS(Daily!$O$2:$O$91,Daily!$A$2:$A$91,"&gt;="&amp;$A4,Daily!$A$2:$A$91,"&lt;="&amp;$B4)/60</f>
        <v>0.85</v>
      </c>
      <c r="P4" s="10" t="n">
        <f aca="false">SUMIFS(Daily!$P$2:$P$91,Daily!$A$2:$A$91,"&gt;="&amp;$A4,Daily!$A$2:$A$91,"&lt;="&amp;$B4)/60</f>
        <v>15.7833333333333</v>
      </c>
      <c r="Q4" s="10" t="n">
        <f aca="false">IFERROR(AVERAGEIFS(Daily!$Q$2:$Q$91,Daily!$A$2:$A$91,"&gt;="&amp;$A4,Daily!$A$2:$A$91,"&lt;="&amp;$B4),"")</f>
        <v>6.87777777777778</v>
      </c>
      <c r="R4" s="18" t="n">
        <f aca="false">IFERROR(AVERAGEIFS(Daily!$S$2:$S$91,Daily!$A$2:$A$91,"&gt;="&amp;$A4,Daily!$A$2:$A$91,"&lt;="&amp;$B4),"")</f>
        <v>3.07407407407407</v>
      </c>
      <c r="S4" s="18" t="n">
        <f aca="false">IFERROR(AVERAGEIFS(Daily!$U$2:$U$91,Daily!$A$2:$A$91,"&gt;="&amp;$A4,Daily!$A$2:$A$91,"&lt;="&amp;$B4),"")</f>
        <v>3.18518518518519</v>
      </c>
      <c r="T4" s="10" t="n">
        <f aca="false">IFERROR(AVERAGEIFS(Intentions!$J$2:$J$365,Intentions!$B$2:$B$365,"&gt;="&amp;$A4,Intentions!$B$2:$B$365,"&lt;="&amp;$B4),"")</f>
        <v>3.09803921568627</v>
      </c>
    </row>
    <row r="5" customFormat="false" ht="15" hidden="false" customHeight="false" outlineLevel="0" collapsed="false">
      <c r="A5" s="15" t="n">
        <v>46296</v>
      </c>
      <c r="B5" s="15" t="n">
        <f aca="false">EOMONTH(A5,0)</f>
        <v>46326</v>
      </c>
      <c r="C5" s="11" t="n">
        <f aca="false">COUNTIFS(Daily!$A$2:$A$91,"&gt;="&amp;$A5,Daily!$A$2:$A$91,"&lt;="&amp;$B5,Daily!$C$2:$C$91,"Yes")</f>
        <v>14</v>
      </c>
      <c r="D5" s="12" t="n">
        <f aca="false">IFERROR(C5/COUNTIFS(Daily!$A$2:$A$91,"&gt;="&amp;$A5,Daily!$A$2:$A$91,"&lt;="&amp;$B5),"")</f>
        <v>0.875</v>
      </c>
      <c r="E5" s="11" t="n">
        <f aca="false">SUMIFS(Daily!$D$2:$D$91,Daily!$A$2:$A$91,"&gt;="&amp;$A5,Daily!$A$2:$A$91,"&lt;="&amp;$B5)</f>
        <v>65</v>
      </c>
      <c r="F5" s="11" t="n">
        <f aca="false">SUMIFS(Daily!$E$2:$E$91,Daily!$A$2:$A$91,"&gt;="&amp;$A5,Daily!$A$2:$A$91,"&lt;="&amp;$B5)</f>
        <v>65</v>
      </c>
      <c r="G5" s="11" t="n">
        <f aca="false">SUMIFS(Daily!$F$2:$F$91,Daily!$A$2:$A$91,"&gt;="&amp;$A5,Daily!$A$2:$A$91,"&lt;="&amp;$B5)</f>
        <v>33</v>
      </c>
      <c r="H5" s="12" t="n">
        <f aca="false">IF(F5=0,"",SUMIFS(Intentions!$K$2:$K$365,Intentions!$B$2:$B$365,"&gt;="&amp;$A5,Intentions!$B$2:$B$365,"&lt;="&amp;$B5)/F5)</f>
        <v>0.469230769230769</v>
      </c>
      <c r="I5" s="10" t="n">
        <f aca="false">SUMIFS(Daily!$I$2:$I$91,Daily!$A$2:$A$91,"&gt;="&amp;$A5,Daily!$A$2:$A$91,"&lt;="&amp;$B5)/60</f>
        <v>33.7833333333333</v>
      </c>
      <c r="J5" s="10" t="n">
        <f aca="false">SUMIFS(Daily!$J$2:$J$91,Daily!$A$2:$A$91,"&gt;="&amp;$A5,Daily!$A$2:$A$91,"&lt;="&amp;$B5)/60</f>
        <v>2.85</v>
      </c>
      <c r="K5" s="10" t="n">
        <f aca="false">SUMIFS(Daily!$K$2:$K$91,Daily!$A$2:$A$91,"&gt;="&amp;$A5,Daily!$A$2:$A$91,"&lt;="&amp;$B5)/60</f>
        <v>1.11666666666667</v>
      </c>
      <c r="L5" s="10" t="n">
        <f aca="false">SUMIFS(Daily!$L$2:$L$91,Daily!$A$2:$A$91,"&gt;="&amp;$A5,Daily!$A$2:$A$91,"&lt;="&amp;$B5)/60</f>
        <v>20.1166666666667</v>
      </c>
      <c r="M5" s="10" t="n">
        <f aca="false">SUMIFS(Daily!$M$2:$M$91,Daily!$A$2:$A$91,"&gt;="&amp;$A5,Daily!$A$2:$A$91,"&lt;="&amp;$B5)/60</f>
        <v>1.56666666666667</v>
      </c>
      <c r="N5" s="10" t="n">
        <f aca="false">SUMIFS(Daily!$N$2:$N$91,Daily!$A$2:$A$91,"&gt;="&amp;$A5,Daily!$A$2:$A$91,"&lt;="&amp;$B5)/60</f>
        <v>0.65</v>
      </c>
      <c r="O5" s="10" t="n">
        <f aca="false">SUMIFS(Daily!$O$2:$O$91,Daily!$A$2:$A$91,"&gt;="&amp;$A5,Daily!$A$2:$A$91,"&lt;="&amp;$B5)/60</f>
        <v>1.48333333333333</v>
      </c>
      <c r="P5" s="10" t="n">
        <f aca="false">SUMIFS(Daily!$P$2:$P$91,Daily!$A$2:$A$91,"&gt;="&amp;$A5,Daily!$A$2:$A$91,"&lt;="&amp;$B5)/60</f>
        <v>6</v>
      </c>
      <c r="Q5" s="10" t="n">
        <f aca="false">IFERROR(AVERAGEIFS(Daily!$Q$2:$Q$91,Daily!$A$2:$A$91,"&gt;="&amp;$A5,Daily!$A$2:$A$91,"&lt;="&amp;$B5),"")</f>
        <v>6.8</v>
      </c>
      <c r="R5" s="18" t="n">
        <f aca="false">IFERROR(AVERAGEIFS(Daily!$S$2:$S$91,Daily!$A$2:$A$91,"&gt;="&amp;$A5,Daily!$A$2:$A$91,"&lt;="&amp;$B5),"")</f>
        <v>2.57142857142857</v>
      </c>
      <c r="S5" s="18" t="n">
        <f aca="false">IFERROR(AVERAGEIFS(Daily!$U$2:$U$91,Daily!$A$2:$A$91,"&gt;="&amp;$A5,Daily!$A$2:$A$91,"&lt;="&amp;$B5),"")</f>
        <v>3.21428571428571</v>
      </c>
      <c r="T5" s="10" t="n">
        <f aca="false">IFERROR(AVERAGEIFS(Intentions!$J$2:$J$365,Intentions!$B$2:$B$365,"&gt;="&amp;$A5,Intentions!$B$2:$B$365,"&lt;="&amp;$B5),"")</f>
        <v>6.12121212121212</v>
      </c>
    </row>
  </sheetData>
  <autoFilter ref="A1:T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9" t="s">
        <v>104</v>
      </c>
      <c r="B1" s="9" t="s">
        <v>51</v>
      </c>
      <c r="C1" s="9" t="s">
        <v>25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  <c r="M1" s="9" t="s">
        <v>114</v>
      </c>
      <c r="N1" s="9" t="s">
        <v>115</v>
      </c>
    </row>
    <row r="2" customFormat="false" ht="15" hidden="false" customHeight="false" outlineLevel="0" collapsed="false">
      <c r="A2" s="4" t="n">
        <v>1</v>
      </c>
      <c r="B2" s="15" t="n">
        <v>46222</v>
      </c>
      <c r="C2" s="4" t="s">
        <v>29</v>
      </c>
      <c r="D2" s="4" t="s">
        <v>116</v>
      </c>
      <c r="E2" s="17" t="s">
        <v>117</v>
      </c>
      <c r="F2" s="4" t="s">
        <v>118</v>
      </c>
      <c r="G2" s="11" t="n">
        <v>15</v>
      </c>
      <c r="H2" s="4" t="s">
        <v>55</v>
      </c>
      <c r="I2" s="11" t="n">
        <v>21</v>
      </c>
      <c r="J2" s="11" t="n">
        <f aca="false">IF(AND(ISNUMBER(G2),ISNUMBER(I2)),I2-G2,"")</f>
        <v>6</v>
      </c>
      <c r="K2" s="10" t="n">
        <f aca="false">IF(H2="Done",1,IF(H2="Partial",0.5,IF(H2="Planned","",0)))</f>
        <v>1</v>
      </c>
      <c r="L2" s="17"/>
      <c r="M2" s="17"/>
      <c r="N2" s="17"/>
    </row>
    <row r="3" customFormat="false" ht="23.85" hidden="false" customHeight="false" outlineLevel="0" collapsed="false">
      <c r="A3" s="4" t="n">
        <v>2</v>
      </c>
      <c r="B3" s="15" t="n">
        <v>46222</v>
      </c>
      <c r="C3" s="4" t="s">
        <v>31</v>
      </c>
      <c r="D3" s="4" t="s">
        <v>119</v>
      </c>
      <c r="E3" s="17" t="s">
        <v>120</v>
      </c>
      <c r="F3" s="4" t="s">
        <v>121</v>
      </c>
      <c r="G3" s="11" t="n">
        <v>60</v>
      </c>
      <c r="H3" s="4" t="s">
        <v>55</v>
      </c>
      <c r="I3" s="11" t="n">
        <v>106</v>
      </c>
      <c r="J3" s="11" t="n">
        <f aca="false">IF(AND(ISNUMBER(G3),ISNUMBER(I3)),I3-G3,"")</f>
        <v>46</v>
      </c>
      <c r="K3" s="10" t="n">
        <f aca="false">IF(H3="Done",1,IF(H3="Partial",0.5,IF(H3="Planned","",0)))</f>
        <v>1</v>
      </c>
      <c r="L3" s="17" t="s">
        <v>122</v>
      </c>
      <c r="M3" s="17"/>
      <c r="N3" s="17" t="s">
        <v>123</v>
      </c>
    </row>
    <row r="4" customFormat="false" ht="15" hidden="false" customHeight="false" outlineLevel="0" collapsed="false">
      <c r="A4" s="4" t="n">
        <v>3</v>
      </c>
      <c r="B4" s="15" t="n">
        <v>46223</v>
      </c>
      <c r="C4" s="4" t="s">
        <v>34</v>
      </c>
      <c r="D4" s="4" t="s">
        <v>124</v>
      </c>
      <c r="E4" s="17" t="s">
        <v>125</v>
      </c>
      <c r="F4" s="4" t="s">
        <v>118</v>
      </c>
      <c r="G4" s="11" t="n">
        <v>20</v>
      </c>
      <c r="H4" s="4" t="s">
        <v>126</v>
      </c>
      <c r="I4" s="11"/>
      <c r="J4" s="11" t="str">
        <f aca="false">IF(AND(ISNUMBER(G4),ISNUMBER(I4)),I4-G4,"")</f>
        <v/>
      </c>
      <c r="K4" s="10" t="n">
        <f aca="false">IF(H4="Done",1,IF(H4="Partial",0.5,IF(H4="Planned","",0)))</f>
        <v>0</v>
      </c>
      <c r="L4" s="17"/>
      <c r="M4" s="17" t="s">
        <v>127</v>
      </c>
      <c r="N4" s="17"/>
    </row>
    <row r="5" customFormat="false" ht="15" hidden="false" customHeight="false" outlineLevel="0" collapsed="false">
      <c r="A5" s="4" t="n">
        <v>4</v>
      </c>
      <c r="B5" s="15" t="n">
        <v>46223</v>
      </c>
      <c r="C5" s="4" t="s">
        <v>30</v>
      </c>
      <c r="D5" s="4" t="s">
        <v>128</v>
      </c>
      <c r="E5" s="17" t="s">
        <v>129</v>
      </c>
      <c r="F5" s="4" t="s">
        <v>130</v>
      </c>
      <c r="G5" s="11" t="n">
        <v>40</v>
      </c>
      <c r="H5" s="4" t="s">
        <v>55</v>
      </c>
      <c r="I5" s="11" t="n">
        <v>41</v>
      </c>
      <c r="J5" s="11" t="n">
        <f aca="false">IF(AND(ISNUMBER(G5),ISNUMBER(I5)),I5-G5,"")</f>
        <v>1</v>
      </c>
      <c r="K5" s="10" t="n">
        <f aca="false">IF(H5="Done",1,IF(H5="Partial",0.5,IF(H5="Planned","",0)))</f>
        <v>1</v>
      </c>
      <c r="L5" s="17"/>
      <c r="M5" s="17"/>
      <c r="N5" s="17"/>
    </row>
    <row r="6" customFormat="false" ht="15" hidden="false" customHeight="false" outlineLevel="0" collapsed="false">
      <c r="A6" s="4" t="n">
        <v>5</v>
      </c>
      <c r="B6" s="15" t="n">
        <v>46224</v>
      </c>
      <c r="C6" s="4" t="s">
        <v>29</v>
      </c>
      <c r="D6" s="4" t="s">
        <v>131</v>
      </c>
      <c r="E6" s="17" t="s">
        <v>132</v>
      </c>
      <c r="F6" s="4" t="s">
        <v>118</v>
      </c>
      <c r="G6" s="11" t="n">
        <v>20</v>
      </c>
      <c r="H6" s="4" t="s">
        <v>55</v>
      </c>
      <c r="I6" s="11" t="n">
        <v>16</v>
      </c>
      <c r="J6" s="11" t="n">
        <f aca="false">IF(AND(ISNUMBER(G6),ISNUMBER(I6)),I6-G6,"")</f>
        <v>-4</v>
      </c>
      <c r="K6" s="10" t="n">
        <f aca="false">IF(H6="Done",1,IF(H6="Partial",0.5,IF(H6="Planned","",0)))</f>
        <v>1</v>
      </c>
      <c r="L6" s="17"/>
      <c r="M6" s="17"/>
      <c r="N6" s="17" t="s">
        <v>133</v>
      </c>
    </row>
    <row r="7" customFormat="false" ht="23.85" hidden="false" customHeight="false" outlineLevel="0" collapsed="false">
      <c r="A7" s="4" t="n">
        <v>6</v>
      </c>
      <c r="B7" s="15" t="n">
        <v>46224</v>
      </c>
      <c r="C7" s="4" t="s">
        <v>31</v>
      </c>
      <c r="D7" s="4" t="s">
        <v>119</v>
      </c>
      <c r="E7" s="17" t="s">
        <v>120</v>
      </c>
      <c r="F7" s="4" t="s">
        <v>121</v>
      </c>
      <c r="G7" s="11" t="n">
        <v>60</v>
      </c>
      <c r="H7" s="4" t="s">
        <v>55</v>
      </c>
      <c r="I7" s="11" t="n">
        <v>79</v>
      </c>
      <c r="J7" s="11" t="n">
        <f aca="false">IF(AND(ISNUMBER(G7),ISNUMBER(I7)),I7-G7,"")</f>
        <v>19</v>
      </c>
      <c r="K7" s="10" t="n">
        <f aca="false">IF(H7="Done",1,IF(H7="Partial",0.5,IF(H7="Planned","",0)))</f>
        <v>1</v>
      </c>
      <c r="L7" s="17"/>
      <c r="M7" s="17"/>
      <c r="N7" s="17" t="s">
        <v>123</v>
      </c>
    </row>
    <row r="8" customFormat="false" ht="15" hidden="false" customHeight="false" outlineLevel="0" collapsed="false">
      <c r="A8" s="4" t="n">
        <v>7</v>
      </c>
      <c r="B8" s="15" t="n">
        <v>46224</v>
      </c>
      <c r="C8" s="4" t="s">
        <v>31</v>
      </c>
      <c r="D8" s="4" t="s">
        <v>134</v>
      </c>
      <c r="E8" s="17" t="s">
        <v>135</v>
      </c>
      <c r="F8" s="4" t="s">
        <v>130</v>
      </c>
      <c r="G8" s="11" t="n">
        <v>45</v>
      </c>
      <c r="H8" s="4" t="s">
        <v>55</v>
      </c>
      <c r="I8" s="11" t="n">
        <v>43</v>
      </c>
      <c r="J8" s="11" t="n">
        <f aca="false">IF(AND(ISNUMBER(G8),ISNUMBER(I8)),I8-G8,"")</f>
        <v>-2</v>
      </c>
      <c r="K8" s="10" t="n">
        <f aca="false">IF(H8="Done",1,IF(H8="Partial",0.5,IF(H8="Planned","",0)))</f>
        <v>1</v>
      </c>
      <c r="L8" s="17"/>
      <c r="M8" s="17"/>
      <c r="N8" s="17"/>
    </row>
    <row r="9" customFormat="false" ht="23.85" hidden="false" customHeight="false" outlineLevel="0" collapsed="false">
      <c r="A9" s="4" t="n">
        <v>8</v>
      </c>
      <c r="B9" s="15" t="n">
        <v>46224</v>
      </c>
      <c r="C9" s="4" t="s">
        <v>31</v>
      </c>
      <c r="D9" s="4" t="s">
        <v>136</v>
      </c>
      <c r="E9" s="17" t="s">
        <v>137</v>
      </c>
      <c r="F9" s="4" t="s">
        <v>121</v>
      </c>
      <c r="G9" s="11" t="n">
        <v>120</v>
      </c>
      <c r="H9" s="4" t="s">
        <v>55</v>
      </c>
      <c r="I9" s="11" t="n">
        <v>146</v>
      </c>
      <c r="J9" s="11" t="n">
        <f aca="false">IF(AND(ISNUMBER(G9),ISNUMBER(I9)),I9-G9,"")</f>
        <v>26</v>
      </c>
      <c r="K9" s="10" t="n">
        <f aca="false">IF(H9="Done",1,IF(H9="Partial",0.5,IF(H9="Planned","",0)))</f>
        <v>1</v>
      </c>
      <c r="L9" s="17" t="s">
        <v>138</v>
      </c>
      <c r="M9" s="17"/>
      <c r="N9" s="17" t="s">
        <v>123</v>
      </c>
    </row>
    <row r="10" customFormat="false" ht="15" hidden="false" customHeight="false" outlineLevel="0" collapsed="false">
      <c r="A10" s="4" t="n">
        <v>9</v>
      </c>
      <c r="B10" s="15" t="n">
        <v>46225</v>
      </c>
      <c r="C10" s="4" t="s">
        <v>34</v>
      </c>
      <c r="D10" s="4" t="s">
        <v>124</v>
      </c>
      <c r="E10" s="17" t="s">
        <v>125</v>
      </c>
      <c r="F10" s="4" t="s">
        <v>130</v>
      </c>
      <c r="G10" s="11" t="n">
        <v>20</v>
      </c>
      <c r="H10" s="4" t="s">
        <v>139</v>
      </c>
      <c r="I10" s="11" t="n">
        <v>17</v>
      </c>
      <c r="J10" s="11" t="n">
        <f aca="false">IF(AND(ISNUMBER(G10),ISNUMBER(I10)),I10-G10,"")</f>
        <v>-3</v>
      </c>
      <c r="K10" s="10" t="n">
        <f aca="false">IF(H10="Done",1,IF(H10="Partial",0.5,IF(H10="Planned","",0)))</f>
        <v>0.5</v>
      </c>
      <c r="L10" s="17"/>
      <c r="M10" s="17"/>
      <c r="N10" s="17"/>
    </row>
    <row r="11" customFormat="false" ht="15" hidden="false" customHeight="false" outlineLevel="0" collapsed="false">
      <c r="A11" s="4" t="n">
        <v>10</v>
      </c>
      <c r="B11" s="15" t="n">
        <v>46225</v>
      </c>
      <c r="C11" s="4" t="s">
        <v>32</v>
      </c>
      <c r="D11" s="4" t="s">
        <v>140</v>
      </c>
      <c r="E11" s="17" t="s">
        <v>141</v>
      </c>
      <c r="F11" s="4" t="s">
        <v>130</v>
      </c>
      <c r="G11" s="11" t="n">
        <v>45</v>
      </c>
      <c r="H11" s="4" t="s">
        <v>126</v>
      </c>
      <c r="I11" s="11"/>
      <c r="J11" s="11" t="str">
        <f aca="false">IF(AND(ISNUMBER(G11),ISNUMBER(I11)),I11-G11,"")</f>
        <v/>
      </c>
      <c r="K11" s="10" t="n">
        <f aca="false">IF(H11="Done",1,IF(H11="Partial",0.5,IF(H11="Planned","",0)))</f>
        <v>0</v>
      </c>
      <c r="L11" s="17"/>
      <c r="M11" s="17" t="s">
        <v>142</v>
      </c>
      <c r="N11" s="17" t="s">
        <v>143</v>
      </c>
    </row>
    <row r="12" customFormat="false" ht="15" hidden="false" customHeight="false" outlineLevel="0" collapsed="false">
      <c r="A12" s="4" t="n">
        <v>11</v>
      </c>
      <c r="B12" s="15" t="n">
        <v>46225</v>
      </c>
      <c r="C12" s="4" t="s">
        <v>32</v>
      </c>
      <c r="D12" s="4" t="s">
        <v>144</v>
      </c>
      <c r="E12" s="17" t="s">
        <v>145</v>
      </c>
      <c r="F12" s="4" t="s">
        <v>130</v>
      </c>
      <c r="G12" s="11" t="n">
        <v>60</v>
      </c>
      <c r="H12" s="4" t="s">
        <v>139</v>
      </c>
      <c r="I12" s="11" t="n">
        <v>37</v>
      </c>
      <c r="J12" s="11" t="n">
        <f aca="false">IF(AND(ISNUMBER(G12),ISNUMBER(I12)),I12-G12,"")</f>
        <v>-23</v>
      </c>
      <c r="K12" s="10" t="n">
        <f aca="false">IF(H12="Done",1,IF(H12="Partial",0.5,IF(H12="Planned","",0)))</f>
        <v>0.5</v>
      </c>
      <c r="L12" s="17"/>
      <c r="M12" s="17"/>
      <c r="N12" s="17"/>
    </row>
    <row r="13" customFormat="false" ht="23.85" hidden="false" customHeight="false" outlineLevel="0" collapsed="false">
      <c r="A13" s="4" t="n">
        <v>12</v>
      </c>
      <c r="B13" s="15" t="n">
        <v>46225</v>
      </c>
      <c r="C13" s="4" t="s">
        <v>31</v>
      </c>
      <c r="D13" s="4" t="s">
        <v>119</v>
      </c>
      <c r="E13" s="17" t="s">
        <v>120</v>
      </c>
      <c r="F13" s="4" t="s">
        <v>121</v>
      </c>
      <c r="G13" s="11" t="n">
        <v>60</v>
      </c>
      <c r="H13" s="4" t="s">
        <v>126</v>
      </c>
      <c r="I13" s="11"/>
      <c r="J13" s="11" t="str">
        <f aca="false">IF(AND(ISNUMBER(G13),ISNUMBER(I13)),I13-G13,"")</f>
        <v/>
      </c>
      <c r="K13" s="10" t="n">
        <f aca="false">IF(H13="Done",1,IF(H13="Partial",0.5,IF(H13="Planned","",0)))</f>
        <v>0</v>
      </c>
      <c r="L13" s="17"/>
      <c r="M13" s="17" t="s">
        <v>146</v>
      </c>
      <c r="N13" s="17" t="s">
        <v>123</v>
      </c>
    </row>
    <row r="14" customFormat="false" ht="15" hidden="false" customHeight="false" outlineLevel="0" collapsed="false">
      <c r="A14" s="4" t="n">
        <v>13</v>
      </c>
      <c r="B14" s="15" t="n">
        <v>46226</v>
      </c>
      <c r="C14" s="4" t="s">
        <v>29</v>
      </c>
      <c r="D14" s="4" t="s">
        <v>116</v>
      </c>
      <c r="E14" s="17" t="s">
        <v>117</v>
      </c>
      <c r="F14" s="4" t="s">
        <v>130</v>
      </c>
      <c r="G14" s="11" t="n">
        <v>15</v>
      </c>
      <c r="H14" s="4" t="s">
        <v>55</v>
      </c>
      <c r="I14" s="11" t="n">
        <v>12</v>
      </c>
      <c r="J14" s="11" t="n">
        <f aca="false">IF(AND(ISNUMBER(G14),ISNUMBER(I14)),I14-G14,"")</f>
        <v>-3</v>
      </c>
      <c r="K14" s="10" t="n">
        <f aca="false">IF(H14="Done",1,IF(H14="Partial",0.5,IF(H14="Planned","",0)))</f>
        <v>1</v>
      </c>
      <c r="L14" s="17"/>
      <c r="M14" s="17"/>
      <c r="N14" s="17"/>
    </row>
    <row r="15" customFormat="false" ht="15" hidden="false" customHeight="false" outlineLevel="0" collapsed="false">
      <c r="A15" s="4" t="n">
        <v>14</v>
      </c>
      <c r="B15" s="15" t="n">
        <v>46226</v>
      </c>
      <c r="C15" s="4" t="s">
        <v>30</v>
      </c>
      <c r="D15" s="4" t="s">
        <v>128</v>
      </c>
      <c r="E15" s="17" t="s">
        <v>129</v>
      </c>
      <c r="F15" s="4" t="s">
        <v>130</v>
      </c>
      <c r="G15" s="11" t="n">
        <v>40</v>
      </c>
      <c r="H15" s="4" t="s">
        <v>126</v>
      </c>
      <c r="I15" s="11"/>
      <c r="J15" s="11" t="str">
        <f aca="false">IF(AND(ISNUMBER(G15),ISNUMBER(I15)),I15-G15,"")</f>
        <v/>
      </c>
      <c r="K15" s="10" t="n">
        <f aca="false">IF(H15="Done",1,IF(H15="Partial",0.5,IF(H15="Planned","",0)))</f>
        <v>0</v>
      </c>
      <c r="L15" s="17"/>
      <c r="M15" s="17" t="s">
        <v>147</v>
      </c>
      <c r="N15" s="17"/>
    </row>
    <row r="16" customFormat="false" ht="15" hidden="false" customHeight="false" outlineLevel="0" collapsed="false">
      <c r="A16" s="4" t="n">
        <v>15</v>
      </c>
      <c r="B16" s="15" t="n">
        <v>46226</v>
      </c>
      <c r="C16" s="4" t="s">
        <v>35</v>
      </c>
      <c r="D16" s="4" t="s">
        <v>148</v>
      </c>
      <c r="E16" s="17" t="s">
        <v>149</v>
      </c>
      <c r="F16" s="4" t="s">
        <v>130</v>
      </c>
      <c r="G16" s="11" t="n">
        <v>30</v>
      </c>
      <c r="H16" s="4" t="s">
        <v>150</v>
      </c>
      <c r="I16" s="11"/>
      <c r="J16" s="11" t="str">
        <f aca="false">IF(AND(ISNUMBER(G16),ISNUMBER(I16)),I16-G16,"")</f>
        <v/>
      </c>
      <c r="K16" s="10" t="n">
        <f aca="false">IF(H16="Done",1,IF(H16="Partial",0.5,IF(H16="Planned","",0)))</f>
        <v>0</v>
      </c>
      <c r="L16" s="17"/>
      <c r="M16" s="17" t="s">
        <v>146</v>
      </c>
      <c r="N16" s="17"/>
    </row>
    <row r="17" customFormat="false" ht="15" hidden="false" customHeight="false" outlineLevel="0" collapsed="false">
      <c r="A17" s="4" t="n">
        <v>16</v>
      </c>
      <c r="B17" s="15" t="n">
        <v>46226</v>
      </c>
      <c r="C17" s="4" t="s">
        <v>33</v>
      </c>
      <c r="D17" s="4" t="s">
        <v>151</v>
      </c>
      <c r="E17" s="17" t="s">
        <v>152</v>
      </c>
      <c r="F17" s="4" t="s">
        <v>121</v>
      </c>
      <c r="G17" s="11" t="n">
        <v>30</v>
      </c>
      <c r="H17" s="4" t="s">
        <v>126</v>
      </c>
      <c r="I17" s="11"/>
      <c r="J17" s="11" t="str">
        <f aca="false">IF(AND(ISNUMBER(G17),ISNUMBER(I17)),I17-G17,"")</f>
        <v/>
      </c>
      <c r="K17" s="10" t="n">
        <f aca="false">IF(H17="Done",1,IF(H17="Partial",0.5,IF(H17="Planned","",0)))</f>
        <v>0</v>
      </c>
      <c r="L17" s="17"/>
      <c r="M17" s="17" t="s">
        <v>153</v>
      </c>
      <c r="N17" s="17"/>
    </row>
    <row r="18" customFormat="false" ht="23.85" hidden="false" customHeight="false" outlineLevel="0" collapsed="false">
      <c r="A18" s="4" t="n">
        <v>17</v>
      </c>
      <c r="B18" s="15" t="n">
        <v>46226</v>
      </c>
      <c r="C18" s="4" t="s">
        <v>31</v>
      </c>
      <c r="D18" s="4" t="s">
        <v>119</v>
      </c>
      <c r="E18" s="17" t="s">
        <v>120</v>
      </c>
      <c r="F18" s="4" t="s">
        <v>118</v>
      </c>
      <c r="G18" s="11" t="n">
        <v>60</v>
      </c>
      <c r="H18" s="4" t="s">
        <v>154</v>
      </c>
      <c r="I18" s="11"/>
      <c r="J18" s="11" t="str">
        <f aca="false">IF(AND(ISNUMBER(G18),ISNUMBER(I18)),I18-G18,"")</f>
        <v/>
      </c>
      <c r="K18" s="10" t="n">
        <f aca="false">IF(H18="Done",1,IF(H18="Partial",0.5,IF(H18="Planned","",0)))</f>
        <v>0</v>
      </c>
      <c r="L18" s="17"/>
      <c r="M18" s="17" t="s">
        <v>127</v>
      </c>
      <c r="N18" s="17" t="s">
        <v>123</v>
      </c>
    </row>
    <row r="19" customFormat="false" ht="15" hidden="false" customHeight="false" outlineLevel="0" collapsed="false">
      <c r="A19" s="4" t="n">
        <v>18</v>
      </c>
      <c r="B19" s="15" t="n">
        <v>46226</v>
      </c>
      <c r="C19" s="4" t="s">
        <v>29</v>
      </c>
      <c r="D19" s="4" t="s">
        <v>131</v>
      </c>
      <c r="E19" s="17" t="s">
        <v>132</v>
      </c>
      <c r="F19" s="4" t="s">
        <v>121</v>
      </c>
      <c r="G19" s="11" t="n">
        <v>20</v>
      </c>
      <c r="H19" s="4" t="s">
        <v>55</v>
      </c>
      <c r="I19" s="11" t="n">
        <v>25</v>
      </c>
      <c r="J19" s="11" t="n">
        <f aca="false">IF(AND(ISNUMBER(G19),ISNUMBER(I19)),I19-G19,"")</f>
        <v>5</v>
      </c>
      <c r="K19" s="10" t="n">
        <f aca="false">IF(H19="Done",1,IF(H19="Partial",0.5,IF(H19="Planned","",0)))</f>
        <v>1</v>
      </c>
      <c r="L19" s="17"/>
      <c r="M19" s="17"/>
      <c r="N19" s="17" t="s">
        <v>133</v>
      </c>
    </row>
    <row r="20" customFormat="false" ht="15" hidden="false" customHeight="false" outlineLevel="0" collapsed="false">
      <c r="A20" s="4" t="n">
        <v>19</v>
      </c>
      <c r="B20" s="15" t="n">
        <v>46227</v>
      </c>
      <c r="C20" s="4" t="s">
        <v>29</v>
      </c>
      <c r="D20" s="4" t="s">
        <v>131</v>
      </c>
      <c r="E20" s="17" t="s">
        <v>132</v>
      </c>
      <c r="F20" s="4" t="s">
        <v>121</v>
      </c>
      <c r="G20" s="11" t="n">
        <v>20</v>
      </c>
      <c r="H20" s="4" t="s">
        <v>126</v>
      </c>
      <c r="I20" s="11"/>
      <c r="J20" s="11" t="str">
        <f aca="false">IF(AND(ISNUMBER(G20),ISNUMBER(I20)),I20-G20,"")</f>
        <v/>
      </c>
      <c r="K20" s="10" t="n">
        <f aca="false">IF(H20="Done",1,IF(H20="Partial",0.5,IF(H20="Planned","",0)))</f>
        <v>0</v>
      </c>
      <c r="L20" s="17"/>
      <c r="M20" s="17" t="s">
        <v>127</v>
      </c>
      <c r="N20" s="17" t="s">
        <v>133</v>
      </c>
    </row>
    <row r="21" customFormat="false" ht="15" hidden="false" customHeight="false" outlineLevel="0" collapsed="false">
      <c r="A21" s="4" t="n">
        <v>20</v>
      </c>
      <c r="B21" s="15" t="n">
        <v>46227</v>
      </c>
      <c r="C21" s="4" t="s">
        <v>29</v>
      </c>
      <c r="D21" s="4" t="s">
        <v>116</v>
      </c>
      <c r="E21" s="17" t="s">
        <v>117</v>
      </c>
      <c r="F21" s="4" t="s">
        <v>118</v>
      </c>
      <c r="G21" s="11" t="n">
        <v>15</v>
      </c>
      <c r="H21" s="4" t="s">
        <v>154</v>
      </c>
      <c r="I21" s="11"/>
      <c r="J21" s="11" t="str">
        <f aca="false">IF(AND(ISNUMBER(G21),ISNUMBER(I21)),I21-G21,"")</f>
        <v/>
      </c>
      <c r="K21" s="10" t="n">
        <f aca="false">IF(H21="Done",1,IF(H21="Partial",0.5,IF(H21="Planned","",0)))</f>
        <v>0</v>
      </c>
      <c r="L21" s="17"/>
      <c r="M21" s="17" t="s">
        <v>155</v>
      </c>
      <c r="N21" s="17"/>
    </row>
    <row r="22" customFormat="false" ht="15" hidden="false" customHeight="false" outlineLevel="0" collapsed="false">
      <c r="A22" s="4" t="n">
        <v>21</v>
      </c>
      <c r="B22" s="15" t="n">
        <v>46227</v>
      </c>
      <c r="C22" s="4" t="s">
        <v>30</v>
      </c>
      <c r="D22" s="4" t="s">
        <v>128</v>
      </c>
      <c r="E22" s="17" t="s">
        <v>129</v>
      </c>
      <c r="F22" s="4" t="s">
        <v>121</v>
      </c>
      <c r="G22" s="11" t="n">
        <v>40</v>
      </c>
      <c r="H22" s="4" t="s">
        <v>55</v>
      </c>
      <c r="I22" s="11" t="n">
        <v>46</v>
      </c>
      <c r="J22" s="11" t="n">
        <f aca="false">IF(AND(ISNUMBER(G22),ISNUMBER(I22)),I22-G22,"")</f>
        <v>6</v>
      </c>
      <c r="K22" s="10" t="n">
        <f aca="false">IF(H22="Done",1,IF(H22="Partial",0.5,IF(H22="Planned","",0)))</f>
        <v>1</v>
      </c>
      <c r="L22" s="17"/>
      <c r="M22" s="17"/>
      <c r="N22" s="17"/>
    </row>
    <row r="23" customFormat="false" ht="15" hidden="false" customHeight="false" outlineLevel="0" collapsed="false">
      <c r="A23" s="4" t="n">
        <v>22</v>
      </c>
      <c r="B23" s="15" t="n">
        <v>46227</v>
      </c>
      <c r="C23" s="4" t="s">
        <v>30</v>
      </c>
      <c r="D23" s="4" t="s">
        <v>156</v>
      </c>
      <c r="E23" s="17" t="s">
        <v>157</v>
      </c>
      <c r="F23" s="4" t="s">
        <v>121</v>
      </c>
      <c r="G23" s="11" t="n">
        <v>30</v>
      </c>
      <c r="H23" s="4" t="s">
        <v>55</v>
      </c>
      <c r="I23" s="11" t="n">
        <v>31</v>
      </c>
      <c r="J23" s="11" t="n">
        <f aca="false">IF(AND(ISNUMBER(G23),ISNUMBER(I23)),I23-G23,"")</f>
        <v>1</v>
      </c>
      <c r="K23" s="10" t="n">
        <f aca="false">IF(H23="Done",1,IF(H23="Partial",0.5,IF(H23="Planned","",0)))</f>
        <v>1</v>
      </c>
      <c r="L23" s="17"/>
      <c r="M23" s="17"/>
      <c r="N23" s="17" t="s">
        <v>158</v>
      </c>
    </row>
    <row r="24" customFormat="false" ht="15" hidden="false" customHeight="false" outlineLevel="0" collapsed="false">
      <c r="A24" s="4" t="n">
        <v>23</v>
      </c>
      <c r="B24" s="15" t="n">
        <v>46227</v>
      </c>
      <c r="C24" s="4" t="s">
        <v>31</v>
      </c>
      <c r="D24" s="4" t="s">
        <v>134</v>
      </c>
      <c r="E24" s="17" t="s">
        <v>135</v>
      </c>
      <c r="F24" s="4" t="s">
        <v>118</v>
      </c>
      <c r="G24" s="11" t="n">
        <v>45</v>
      </c>
      <c r="H24" s="4" t="s">
        <v>55</v>
      </c>
      <c r="I24" s="11" t="n">
        <v>57</v>
      </c>
      <c r="J24" s="11" t="n">
        <f aca="false">IF(AND(ISNUMBER(G24),ISNUMBER(I24)),I24-G24,"")</f>
        <v>12</v>
      </c>
      <c r="K24" s="10" t="n">
        <f aca="false">IF(H24="Done",1,IF(H24="Partial",0.5,IF(H24="Planned","",0)))</f>
        <v>1</v>
      </c>
      <c r="L24" s="17"/>
      <c r="M24" s="17"/>
      <c r="N24" s="17"/>
    </row>
    <row r="25" customFormat="false" ht="15" hidden="false" customHeight="false" outlineLevel="0" collapsed="false">
      <c r="A25" s="4" t="n">
        <v>24</v>
      </c>
      <c r="B25" s="15" t="n">
        <v>46227</v>
      </c>
      <c r="C25" s="4" t="s">
        <v>31</v>
      </c>
      <c r="D25" s="4" t="s">
        <v>159</v>
      </c>
      <c r="E25" s="17" t="s">
        <v>160</v>
      </c>
      <c r="F25" s="4" t="s">
        <v>118</v>
      </c>
      <c r="G25" s="11" t="n">
        <v>60</v>
      </c>
      <c r="H25" s="4" t="s">
        <v>126</v>
      </c>
      <c r="I25" s="11"/>
      <c r="J25" s="11" t="str">
        <f aca="false">IF(AND(ISNUMBER(G25),ISNUMBER(I25)),I25-G25,"")</f>
        <v/>
      </c>
      <c r="K25" s="10" t="n">
        <f aca="false">IF(H25="Done",1,IF(H25="Partial",0.5,IF(H25="Planned","",0)))</f>
        <v>0</v>
      </c>
      <c r="L25" s="17"/>
      <c r="M25" s="17" t="s">
        <v>155</v>
      </c>
      <c r="N25" s="17"/>
    </row>
    <row r="26" customFormat="false" ht="23.85" hidden="false" customHeight="false" outlineLevel="0" collapsed="false">
      <c r="A26" s="4" t="n">
        <v>25</v>
      </c>
      <c r="B26" s="15" t="n">
        <v>46227</v>
      </c>
      <c r="C26" s="4" t="s">
        <v>31</v>
      </c>
      <c r="D26" s="4" t="s">
        <v>119</v>
      </c>
      <c r="E26" s="17" t="s">
        <v>120</v>
      </c>
      <c r="F26" s="4" t="s">
        <v>130</v>
      </c>
      <c r="G26" s="11" t="n">
        <v>60</v>
      </c>
      <c r="H26" s="4" t="s">
        <v>55</v>
      </c>
      <c r="I26" s="11" t="n">
        <v>42</v>
      </c>
      <c r="J26" s="11" t="n">
        <f aca="false">IF(AND(ISNUMBER(G26),ISNUMBER(I26)),I26-G26,"")</f>
        <v>-18</v>
      </c>
      <c r="K26" s="10" t="n">
        <f aca="false">IF(H26="Done",1,IF(H26="Partial",0.5,IF(H26="Planned","",0)))</f>
        <v>1</v>
      </c>
      <c r="L26" s="17"/>
      <c r="M26" s="17"/>
      <c r="N26" s="17" t="s">
        <v>123</v>
      </c>
    </row>
    <row r="27" customFormat="false" ht="15" hidden="false" customHeight="false" outlineLevel="0" collapsed="false">
      <c r="A27" s="4" t="n">
        <v>26</v>
      </c>
      <c r="B27" s="15" t="n">
        <v>46228</v>
      </c>
      <c r="C27" s="4" t="s">
        <v>32</v>
      </c>
      <c r="D27" s="4" t="s">
        <v>144</v>
      </c>
      <c r="E27" s="17" t="s">
        <v>145</v>
      </c>
      <c r="F27" s="4" t="s">
        <v>130</v>
      </c>
      <c r="G27" s="11" t="n">
        <v>60</v>
      </c>
      <c r="H27" s="4" t="s">
        <v>126</v>
      </c>
      <c r="I27" s="11"/>
      <c r="J27" s="11" t="str">
        <f aca="false">IF(AND(ISNUMBER(G27),ISNUMBER(I27)),I27-G27,"")</f>
        <v/>
      </c>
      <c r="K27" s="10" t="n">
        <f aca="false">IF(H27="Done",1,IF(H27="Partial",0.5,IF(H27="Planned","",0)))</f>
        <v>0</v>
      </c>
      <c r="L27" s="17"/>
      <c r="M27" s="17" t="s">
        <v>142</v>
      </c>
      <c r="N27" s="17"/>
    </row>
    <row r="28" customFormat="false" ht="15" hidden="false" customHeight="false" outlineLevel="0" collapsed="false">
      <c r="A28" s="4" t="n">
        <v>27</v>
      </c>
      <c r="B28" s="15" t="n">
        <v>46228</v>
      </c>
      <c r="C28" s="4" t="s">
        <v>33</v>
      </c>
      <c r="D28" s="4" t="s">
        <v>151</v>
      </c>
      <c r="E28" s="17" t="s">
        <v>152</v>
      </c>
      <c r="F28" s="4" t="s">
        <v>130</v>
      </c>
      <c r="G28" s="11" t="n">
        <v>30</v>
      </c>
      <c r="H28" s="4" t="s">
        <v>55</v>
      </c>
      <c r="I28" s="11" t="n">
        <v>39</v>
      </c>
      <c r="J28" s="11" t="n">
        <f aca="false">IF(AND(ISNUMBER(G28),ISNUMBER(I28)),I28-G28,"")</f>
        <v>9</v>
      </c>
      <c r="K28" s="10" t="n">
        <f aca="false">IF(H28="Done",1,IF(H28="Partial",0.5,IF(H28="Planned","",0)))</f>
        <v>1</v>
      </c>
      <c r="L28" s="17"/>
      <c r="M28" s="17"/>
      <c r="N28" s="17"/>
    </row>
    <row r="29" customFormat="false" ht="15" hidden="false" customHeight="false" outlineLevel="0" collapsed="false">
      <c r="A29" s="4" t="n">
        <v>28</v>
      </c>
      <c r="B29" s="15" t="n">
        <v>46228</v>
      </c>
      <c r="C29" s="4" t="s">
        <v>29</v>
      </c>
      <c r="D29" s="4" t="s">
        <v>116</v>
      </c>
      <c r="E29" s="17" t="s">
        <v>117</v>
      </c>
      <c r="F29" s="4" t="s">
        <v>118</v>
      </c>
      <c r="G29" s="11" t="n">
        <v>15</v>
      </c>
      <c r="H29" s="4" t="s">
        <v>154</v>
      </c>
      <c r="I29" s="11"/>
      <c r="J29" s="11" t="str">
        <f aca="false">IF(AND(ISNUMBER(G29),ISNUMBER(I29)),I29-G29,"")</f>
        <v/>
      </c>
      <c r="K29" s="10" t="n">
        <f aca="false">IF(H29="Done",1,IF(H29="Partial",0.5,IF(H29="Planned","",0)))</f>
        <v>0</v>
      </c>
      <c r="L29" s="17"/>
      <c r="M29" s="17" t="s">
        <v>153</v>
      </c>
      <c r="N29" s="17"/>
    </row>
    <row r="30" customFormat="false" ht="15" hidden="false" customHeight="false" outlineLevel="0" collapsed="false">
      <c r="A30" s="4" t="n">
        <v>29</v>
      </c>
      <c r="B30" s="15" t="n">
        <v>46228</v>
      </c>
      <c r="C30" s="4" t="s">
        <v>34</v>
      </c>
      <c r="D30" s="4" t="s">
        <v>124</v>
      </c>
      <c r="E30" s="17" t="s">
        <v>125</v>
      </c>
      <c r="F30" s="4" t="s">
        <v>130</v>
      </c>
      <c r="G30" s="11" t="n">
        <v>20</v>
      </c>
      <c r="H30" s="4" t="s">
        <v>55</v>
      </c>
      <c r="I30" s="11" t="n">
        <v>20</v>
      </c>
      <c r="J30" s="11" t="n">
        <f aca="false">IF(AND(ISNUMBER(G30),ISNUMBER(I30)),I30-G30,"")</f>
        <v>0</v>
      </c>
      <c r="K30" s="10" t="n">
        <f aca="false">IF(H30="Done",1,IF(H30="Partial",0.5,IF(H30="Planned","",0)))</f>
        <v>1</v>
      </c>
      <c r="L30" s="17"/>
      <c r="M30" s="17"/>
      <c r="N30" s="17"/>
    </row>
    <row r="31" customFormat="false" ht="15" hidden="false" customHeight="false" outlineLevel="0" collapsed="false">
      <c r="A31" s="4" t="n">
        <v>30</v>
      </c>
      <c r="B31" s="15" t="n">
        <v>46228</v>
      </c>
      <c r="C31" s="4" t="s">
        <v>32</v>
      </c>
      <c r="D31" s="4" t="s">
        <v>140</v>
      </c>
      <c r="E31" s="17" t="s">
        <v>141</v>
      </c>
      <c r="F31" s="4" t="s">
        <v>130</v>
      </c>
      <c r="G31" s="11" t="n">
        <v>45</v>
      </c>
      <c r="H31" s="4" t="s">
        <v>55</v>
      </c>
      <c r="I31" s="11" t="n">
        <v>71</v>
      </c>
      <c r="J31" s="11" t="n">
        <f aca="false">IF(AND(ISNUMBER(G31),ISNUMBER(I31)),I31-G31,"")</f>
        <v>26</v>
      </c>
      <c r="K31" s="10" t="n">
        <f aca="false">IF(H31="Done",1,IF(H31="Partial",0.5,IF(H31="Planned","",0)))</f>
        <v>1</v>
      </c>
      <c r="L31" s="17"/>
      <c r="M31" s="17"/>
      <c r="N31" s="17" t="s">
        <v>143</v>
      </c>
    </row>
    <row r="32" customFormat="false" ht="23.85" hidden="false" customHeight="false" outlineLevel="0" collapsed="false">
      <c r="A32" s="4" t="n">
        <v>31</v>
      </c>
      <c r="B32" s="15" t="n">
        <v>46228</v>
      </c>
      <c r="C32" s="4" t="s">
        <v>31</v>
      </c>
      <c r="D32" s="4" t="s">
        <v>119</v>
      </c>
      <c r="E32" s="17" t="s">
        <v>120</v>
      </c>
      <c r="F32" s="4" t="s">
        <v>118</v>
      </c>
      <c r="G32" s="11" t="n">
        <v>60</v>
      </c>
      <c r="H32" s="4" t="s">
        <v>139</v>
      </c>
      <c r="I32" s="11" t="n">
        <v>43</v>
      </c>
      <c r="J32" s="11" t="n">
        <f aca="false">IF(AND(ISNUMBER(G32),ISNUMBER(I32)),I32-G32,"")</f>
        <v>-17</v>
      </c>
      <c r="K32" s="10" t="n">
        <f aca="false">IF(H32="Done",1,IF(H32="Partial",0.5,IF(H32="Planned","",0)))</f>
        <v>0.5</v>
      </c>
      <c r="L32" s="17"/>
      <c r="M32" s="17"/>
      <c r="N32" s="17" t="s">
        <v>123</v>
      </c>
    </row>
    <row r="33" customFormat="false" ht="23.85" hidden="false" customHeight="false" outlineLevel="0" collapsed="false">
      <c r="A33" s="4" t="n">
        <v>32</v>
      </c>
      <c r="B33" s="15" t="n">
        <v>46230</v>
      </c>
      <c r="C33" s="4" t="s">
        <v>31</v>
      </c>
      <c r="D33" s="4" t="s">
        <v>119</v>
      </c>
      <c r="E33" s="17" t="s">
        <v>120</v>
      </c>
      <c r="F33" s="4" t="s">
        <v>130</v>
      </c>
      <c r="G33" s="11" t="n">
        <v>60</v>
      </c>
      <c r="H33" s="4" t="s">
        <v>154</v>
      </c>
      <c r="I33" s="11"/>
      <c r="J33" s="11" t="str">
        <f aca="false">IF(AND(ISNUMBER(G33),ISNUMBER(I33)),I33-G33,"")</f>
        <v/>
      </c>
      <c r="K33" s="10" t="n">
        <f aca="false">IF(H33="Done",1,IF(H33="Partial",0.5,IF(H33="Planned","",0)))</f>
        <v>0</v>
      </c>
      <c r="L33" s="17"/>
      <c r="M33" s="17" t="s">
        <v>155</v>
      </c>
      <c r="N33" s="17" t="s">
        <v>123</v>
      </c>
    </row>
    <row r="34" customFormat="false" ht="15" hidden="false" customHeight="false" outlineLevel="0" collapsed="false">
      <c r="A34" s="4" t="n">
        <v>33</v>
      </c>
      <c r="B34" s="15" t="n">
        <v>46230</v>
      </c>
      <c r="C34" s="4" t="s">
        <v>30</v>
      </c>
      <c r="D34" s="4" t="s">
        <v>128</v>
      </c>
      <c r="E34" s="17" t="s">
        <v>129</v>
      </c>
      <c r="F34" s="4" t="s">
        <v>121</v>
      </c>
      <c r="G34" s="11" t="n">
        <v>40</v>
      </c>
      <c r="H34" s="4" t="s">
        <v>126</v>
      </c>
      <c r="I34" s="11"/>
      <c r="J34" s="11" t="str">
        <f aca="false">IF(AND(ISNUMBER(G34),ISNUMBER(I34)),I34-G34,"")</f>
        <v/>
      </c>
      <c r="K34" s="10" t="n">
        <f aca="false">IF(H34="Done",1,IF(H34="Partial",0.5,IF(H34="Planned","",0)))</f>
        <v>0</v>
      </c>
      <c r="L34" s="17"/>
      <c r="M34" s="17" t="s">
        <v>146</v>
      </c>
      <c r="N34" s="17"/>
    </row>
    <row r="35" customFormat="false" ht="15" hidden="false" customHeight="false" outlineLevel="0" collapsed="false">
      <c r="A35" s="4" t="n">
        <v>34</v>
      </c>
      <c r="B35" s="15" t="n">
        <v>46231</v>
      </c>
      <c r="C35" s="4" t="s">
        <v>31</v>
      </c>
      <c r="D35" s="4" t="s">
        <v>159</v>
      </c>
      <c r="E35" s="17" t="s">
        <v>160</v>
      </c>
      <c r="F35" s="4" t="s">
        <v>121</v>
      </c>
      <c r="G35" s="11" t="n">
        <v>60</v>
      </c>
      <c r="H35" s="4" t="s">
        <v>55</v>
      </c>
      <c r="I35" s="11" t="n">
        <v>49</v>
      </c>
      <c r="J35" s="11" t="n">
        <f aca="false">IF(AND(ISNUMBER(G35),ISNUMBER(I35)),I35-G35,"")</f>
        <v>-11</v>
      </c>
      <c r="K35" s="10" t="n">
        <f aca="false">IF(H35="Done",1,IF(H35="Partial",0.5,IF(H35="Planned","",0)))</f>
        <v>1</v>
      </c>
      <c r="L35" s="17" t="s">
        <v>138</v>
      </c>
      <c r="M35" s="17"/>
      <c r="N35" s="17"/>
    </row>
    <row r="36" customFormat="false" ht="23.85" hidden="false" customHeight="false" outlineLevel="0" collapsed="false">
      <c r="A36" s="4" t="n">
        <v>35</v>
      </c>
      <c r="B36" s="15" t="n">
        <v>46231</v>
      </c>
      <c r="C36" s="4" t="s">
        <v>31</v>
      </c>
      <c r="D36" s="4" t="s">
        <v>119</v>
      </c>
      <c r="E36" s="17" t="s">
        <v>120</v>
      </c>
      <c r="F36" s="4" t="s">
        <v>130</v>
      </c>
      <c r="G36" s="11" t="n">
        <v>60</v>
      </c>
      <c r="H36" s="4" t="s">
        <v>55</v>
      </c>
      <c r="I36" s="11" t="n">
        <v>75</v>
      </c>
      <c r="J36" s="11" t="n">
        <f aca="false">IF(AND(ISNUMBER(G36),ISNUMBER(I36)),I36-G36,"")</f>
        <v>15</v>
      </c>
      <c r="K36" s="10" t="n">
        <f aca="false">IF(H36="Done",1,IF(H36="Partial",0.5,IF(H36="Planned","",0)))</f>
        <v>1</v>
      </c>
      <c r="L36" s="17" t="s">
        <v>138</v>
      </c>
      <c r="M36" s="17"/>
      <c r="N36" s="17" t="s">
        <v>123</v>
      </c>
    </row>
    <row r="37" customFormat="false" ht="15" hidden="false" customHeight="false" outlineLevel="0" collapsed="false">
      <c r="A37" s="4" t="n">
        <v>36</v>
      </c>
      <c r="B37" s="15" t="n">
        <v>46232</v>
      </c>
      <c r="C37" s="4" t="s">
        <v>34</v>
      </c>
      <c r="D37" s="4" t="s">
        <v>124</v>
      </c>
      <c r="E37" s="17" t="s">
        <v>125</v>
      </c>
      <c r="F37" s="4" t="s">
        <v>130</v>
      </c>
      <c r="G37" s="11" t="n">
        <v>20</v>
      </c>
      <c r="H37" s="4" t="s">
        <v>126</v>
      </c>
      <c r="I37" s="11"/>
      <c r="J37" s="11" t="str">
        <f aca="false">IF(AND(ISNUMBER(G37),ISNUMBER(I37)),I37-G37,"")</f>
        <v/>
      </c>
      <c r="K37" s="10" t="n">
        <f aca="false">IF(H37="Done",1,IF(H37="Partial",0.5,IF(H37="Planned","",0)))</f>
        <v>0</v>
      </c>
      <c r="L37" s="17"/>
      <c r="M37" s="17" t="s">
        <v>142</v>
      </c>
      <c r="N37" s="17"/>
    </row>
    <row r="38" customFormat="false" ht="15" hidden="false" customHeight="false" outlineLevel="0" collapsed="false">
      <c r="A38" s="4" t="n">
        <v>37</v>
      </c>
      <c r="B38" s="15" t="n">
        <v>46232</v>
      </c>
      <c r="C38" s="4" t="s">
        <v>35</v>
      </c>
      <c r="D38" s="4" t="s">
        <v>148</v>
      </c>
      <c r="E38" s="17" t="s">
        <v>149</v>
      </c>
      <c r="F38" s="4" t="s">
        <v>130</v>
      </c>
      <c r="G38" s="11" t="n">
        <v>30</v>
      </c>
      <c r="H38" s="4" t="s">
        <v>154</v>
      </c>
      <c r="I38" s="11"/>
      <c r="J38" s="11" t="str">
        <f aca="false">IF(AND(ISNUMBER(G38),ISNUMBER(I38)),I38-G38,"")</f>
        <v/>
      </c>
      <c r="K38" s="10" t="n">
        <f aca="false">IF(H38="Done",1,IF(H38="Partial",0.5,IF(H38="Planned","",0)))</f>
        <v>0</v>
      </c>
      <c r="L38" s="17"/>
      <c r="M38" s="17" t="s">
        <v>153</v>
      </c>
      <c r="N38" s="17"/>
    </row>
    <row r="39" customFormat="false" ht="15" hidden="false" customHeight="false" outlineLevel="0" collapsed="false">
      <c r="A39" s="4" t="n">
        <v>38</v>
      </c>
      <c r="B39" s="15" t="n">
        <v>46232</v>
      </c>
      <c r="C39" s="4" t="s">
        <v>33</v>
      </c>
      <c r="D39" s="4" t="s">
        <v>151</v>
      </c>
      <c r="E39" s="17" t="s">
        <v>152</v>
      </c>
      <c r="F39" s="4" t="s">
        <v>130</v>
      </c>
      <c r="G39" s="11" t="n">
        <v>30</v>
      </c>
      <c r="H39" s="4" t="s">
        <v>126</v>
      </c>
      <c r="I39" s="11"/>
      <c r="J39" s="11" t="str">
        <f aca="false">IF(AND(ISNUMBER(G39),ISNUMBER(I39)),I39-G39,"")</f>
        <v/>
      </c>
      <c r="K39" s="10" t="n">
        <f aca="false">IF(H39="Done",1,IF(H39="Partial",0.5,IF(H39="Planned","",0)))</f>
        <v>0</v>
      </c>
      <c r="L39" s="17"/>
      <c r="M39" s="17" t="s">
        <v>153</v>
      </c>
      <c r="N39" s="17"/>
    </row>
    <row r="40" customFormat="false" ht="15" hidden="false" customHeight="false" outlineLevel="0" collapsed="false">
      <c r="A40" s="4" t="n">
        <v>39</v>
      </c>
      <c r="B40" s="15" t="n">
        <v>46232</v>
      </c>
      <c r="C40" s="4" t="s">
        <v>30</v>
      </c>
      <c r="D40" s="4" t="s">
        <v>128</v>
      </c>
      <c r="E40" s="17" t="s">
        <v>129</v>
      </c>
      <c r="F40" s="4" t="s">
        <v>121</v>
      </c>
      <c r="G40" s="11" t="n">
        <v>40</v>
      </c>
      <c r="H40" s="4" t="s">
        <v>126</v>
      </c>
      <c r="I40" s="11"/>
      <c r="J40" s="11" t="str">
        <f aca="false">IF(AND(ISNUMBER(G40),ISNUMBER(I40)),I40-G40,"")</f>
        <v/>
      </c>
      <c r="K40" s="10" t="n">
        <f aca="false">IF(H40="Done",1,IF(H40="Partial",0.5,IF(H40="Planned","",0)))</f>
        <v>0</v>
      </c>
      <c r="L40" s="17"/>
      <c r="M40" s="17" t="s">
        <v>142</v>
      </c>
      <c r="N40" s="17"/>
    </row>
    <row r="41" customFormat="false" ht="23.85" hidden="false" customHeight="false" outlineLevel="0" collapsed="false">
      <c r="A41" s="4" t="n">
        <v>40</v>
      </c>
      <c r="B41" s="15" t="n">
        <v>46232</v>
      </c>
      <c r="C41" s="4" t="s">
        <v>31</v>
      </c>
      <c r="D41" s="4" t="s">
        <v>119</v>
      </c>
      <c r="E41" s="17" t="s">
        <v>120</v>
      </c>
      <c r="F41" s="4" t="s">
        <v>121</v>
      </c>
      <c r="G41" s="11" t="n">
        <v>60</v>
      </c>
      <c r="H41" s="4" t="s">
        <v>126</v>
      </c>
      <c r="I41" s="11"/>
      <c r="J41" s="11" t="str">
        <f aca="false">IF(AND(ISNUMBER(G41),ISNUMBER(I41)),I41-G41,"")</f>
        <v/>
      </c>
      <c r="K41" s="10" t="n">
        <f aca="false">IF(H41="Done",1,IF(H41="Partial",0.5,IF(H41="Planned","",0)))</f>
        <v>0</v>
      </c>
      <c r="L41" s="17"/>
      <c r="M41" s="17" t="s">
        <v>153</v>
      </c>
      <c r="N41" s="17" t="s">
        <v>123</v>
      </c>
    </row>
    <row r="42" customFormat="false" ht="15" hidden="false" customHeight="false" outlineLevel="0" collapsed="false">
      <c r="A42" s="4" t="n">
        <v>41</v>
      </c>
      <c r="B42" s="15" t="n">
        <v>46232</v>
      </c>
      <c r="C42" s="4" t="s">
        <v>31</v>
      </c>
      <c r="D42" s="4" t="s">
        <v>134</v>
      </c>
      <c r="E42" s="17" t="s">
        <v>135</v>
      </c>
      <c r="F42" s="4" t="s">
        <v>130</v>
      </c>
      <c r="G42" s="11" t="n">
        <v>45</v>
      </c>
      <c r="H42" s="4" t="s">
        <v>154</v>
      </c>
      <c r="I42" s="11"/>
      <c r="J42" s="11" t="str">
        <f aca="false">IF(AND(ISNUMBER(G42),ISNUMBER(I42)),I42-G42,"")</f>
        <v/>
      </c>
      <c r="K42" s="10" t="n">
        <f aca="false">IF(H42="Done",1,IF(H42="Partial",0.5,IF(H42="Planned","",0)))</f>
        <v>0</v>
      </c>
      <c r="L42" s="17"/>
      <c r="M42" s="17" t="s">
        <v>153</v>
      </c>
      <c r="N42" s="17"/>
    </row>
    <row r="43" customFormat="false" ht="15" hidden="false" customHeight="false" outlineLevel="0" collapsed="false">
      <c r="A43" s="4" t="n">
        <v>42</v>
      </c>
      <c r="B43" s="15" t="n">
        <v>46232</v>
      </c>
      <c r="C43" s="4" t="s">
        <v>29</v>
      </c>
      <c r="D43" s="4" t="s">
        <v>131</v>
      </c>
      <c r="E43" s="17" t="s">
        <v>132</v>
      </c>
      <c r="F43" s="4" t="s">
        <v>121</v>
      </c>
      <c r="G43" s="11" t="n">
        <v>20</v>
      </c>
      <c r="H43" s="4" t="s">
        <v>150</v>
      </c>
      <c r="I43" s="11"/>
      <c r="J43" s="11" t="str">
        <f aca="false">IF(AND(ISNUMBER(G43),ISNUMBER(I43)),I43-G43,"")</f>
        <v/>
      </c>
      <c r="K43" s="10" t="n">
        <f aca="false">IF(H43="Done",1,IF(H43="Partial",0.5,IF(H43="Planned","",0)))</f>
        <v>0</v>
      </c>
      <c r="L43" s="17"/>
      <c r="M43" s="17" t="s">
        <v>155</v>
      </c>
      <c r="N43" s="17" t="s">
        <v>133</v>
      </c>
    </row>
    <row r="44" customFormat="false" ht="15" hidden="false" customHeight="false" outlineLevel="0" collapsed="false">
      <c r="A44" s="4" t="n">
        <v>43</v>
      </c>
      <c r="B44" s="15" t="n">
        <v>46233</v>
      </c>
      <c r="C44" s="4" t="s">
        <v>31</v>
      </c>
      <c r="D44" s="4" t="s">
        <v>159</v>
      </c>
      <c r="E44" s="17" t="s">
        <v>160</v>
      </c>
      <c r="F44" s="4" t="s">
        <v>121</v>
      </c>
      <c r="G44" s="11" t="n">
        <v>60</v>
      </c>
      <c r="H44" s="4" t="s">
        <v>139</v>
      </c>
      <c r="I44" s="11" t="n">
        <v>30</v>
      </c>
      <c r="J44" s="11" t="n">
        <f aca="false">IF(AND(ISNUMBER(G44),ISNUMBER(I44)),I44-G44,"")</f>
        <v>-30</v>
      </c>
      <c r="K44" s="10" t="n">
        <f aca="false">IF(H44="Done",1,IF(H44="Partial",0.5,IF(H44="Planned","",0)))</f>
        <v>0.5</v>
      </c>
      <c r="L44" s="17"/>
      <c r="M44" s="17"/>
      <c r="N44" s="17"/>
    </row>
    <row r="45" customFormat="false" ht="15" hidden="false" customHeight="false" outlineLevel="0" collapsed="false">
      <c r="A45" s="4" t="n">
        <v>44</v>
      </c>
      <c r="B45" s="15" t="n">
        <v>46233</v>
      </c>
      <c r="C45" s="4" t="s">
        <v>31</v>
      </c>
      <c r="D45" s="4" t="s">
        <v>134</v>
      </c>
      <c r="E45" s="17" t="s">
        <v>135</v>
      </c>
      <c r="F45" s="4" t="s">
        <v>118</v>
      </c>
      <c r="G45" s="11" t="n">
        <v>45</v>
      </c>
      <c r="H45" s="4" t="s">
        <v>126</v>
      </c>
      <c r="I45" s="11"/>
      <c r="J45" s="11" t="str">
        <f aca="false">IF(AND(ISNUMBER(G45),ISNUMBER(I45)),I45-G45,"")</f>
        <v/>
      </c>
      <c r="K45" s="10" t="n">
        <f aca="false">IF(H45="Done",1,IF(H45="Partial",0.5,IF(H45="Planned","",0)))</f>
        <v>0</v>
      </c>
      <c r="L45" s="17"/>
      <c r="M45" s="17" t="s">
        <v>146</v>
      </c>
      <c r="N45" s="17"/>
    </row>
    <row r="46" customFormat="false" ht="23.85" hidden="false" customHeight="false" outlineLevel="0" collapsed="false">
      <c r="A46" s="4" t="n">
        <v>45</v>
      </c>
      <c r="B46" s="15" t="n">
        <v>46233</v>
      </c>
      <c r="C46" s="4" t="s">
        <v>31</v>
      </c>
      <c r="D46" s="4" t="s">
        <v>119</v>
      </c>
      <c r="E46" s="17" t="s">
        <v>120</v>
      </c>
      <c r="F46" s="4" t="s">
        <v>121</v>
      </c>
      <c r="G46" s="11" t="n">
        <v>60</v>
      </c>
      <c r="H46" s="4" t="s">
        <v>55</v>
      </c>
      <c r="I46" s="11" t="n">
        <v>69</v>
      </c>
      <c r="J46" s="11" t="n">
        <f aca="false">IF(AND(ISNUMBER(G46),ISNUMBER(I46)),I46-G46,"")</f>
        <v>9</v>
      </c>
      <c r="K46" s="10" t="n">
        <f aca="false">IF(H46="Done",1,IF(H46="Partial",0.5,IF(H46="Planned","",0)))</f>
        <v>1</v>
      </c>
      <c r="L46" s="17"/>
      <c r="M46" s="17"/>
      <c r="N46" s="17" t="s">
        <v>123</v>
      </c>
    </row>
    <row r="47" customFormat="false" ht="15" hidden="false" customHeight="false" outlineLevel="0" collapsed="false">
      <c r="A47" s="4" t="n">
        <v>46</v>
      </c>
      <c r="B47" s="15" t="n">
        <v>46234</v>
      </c>
      <c r="C47" s="4" t="s">
        <v>31</v>
      </c>
      <c r="D47" s="4" t="s">
        <v>159</v>
      </c>
      <c r="E47" s="17" t="s">
        <v>160</v>
      </c>
      <c r="F47" s="4" t="s">
        <v>130</v>
      </c>
      <c r="G47" s="11" t="n">
        <v>60</v>
      </c>
      <c r="H47" s="4" t="s">
        <v>161</v>
      </c>
      <c r="I47" s="11"/>
      <c r="J47" s="11" t="str">
        <f aca="false">IF(AND(ISNUMBER(G47),ISNUMBER(I47)),I47-G47,"")</f>
        <v/>
      </c>
      <c r="K47" s="10" t="str">
        <f aca="false">IF(H47="Done",1,IF(H47="Partial",0.5,IF(H47="Planned","",0)))</f>
        <v/>
      </c>
      <c r="L47" s="17"/>
      <c r="M47" s="17"/>
      <c r="N47" s="17"/>
    </row>
    <row r="48" customFormat="false" ht="15" hidden="false" customHeight="false" outlineLevel="0" collapsed="false">
      <c r="A48" s="4" t="n">
        <v>47</v>
      </c>
      <c r="B48" s="15" t="n">
        <v>46234</v>
      </c>
      <c r="C48" s="4" t="s">
        <v>34</v>
      </c>
      <c r="D48" s="4" t="s">
        <v>124</v>
      </c>
      <c r="E48" s="17" t="s">
        <v>125</v>
      </c>
      <c r="F48" s="4" t="s">
        <v>130</v>
      </c>
      <c r="G48" s="11" t="n">
        <v>20</v>
      </c>
      <c r="H48" s="4" t="s">
        <v>161</v>
      </c>
      <c r="I48" s="11"/>
      <c r="J48" s="11" t="str">
        <f aca="false">IF(AND(ISNUMBER(G48),ISNUMBER(I48)),I48-G48,"")</f>
        <v/>
      </c>
      <c r="K48" s="10" t="str">
        <f aca="false">IF(H48="Done",1,IF(H48="Partial",0.5,IF(H48="Planned","",0)))</f>
        <v/>
      </c>
      <c r="L48" s="17"/>
      <c r="M48" s="17"/>
      <c r="N48" s="17"/>
    </row>
    <row r="49" customFormat="false" ht="15" hidden="false" customHeight="false" outlineLevel="0" collapsed="false">
      <c r="A49" s="4" t="n">
        <v>48</v>
      </c>
      <c r="B49" s="15" t="n">
        <v>46234</v>
      </c>
      <c r="C49" s="4" t="s">
        <v>30</v>
      </c>
      <c r="D49" s="4" t="s">
        <v>128</v>
      </c>
      <c r="E49" s="17" t="s">
        <v>129</v>
      </c>
      <c r="F49" s="4" t="s">
        <v>121</v>
      </c>
      <c r="G49" s="11" t="n">
        <v>40</v>
      </c>
      <c r="H49" s="4" t="s">
        <v>161</v>
      </c>
      <c r="I49" s="11"/>
      <c r="J49" s="11" t="str">
        <f aca="false">IF(AND(ISNUMBER(G49),ISNUMBER(I49)),I49-G49,"")</f>
        <v/>
      </c>
      <c r="K49" s="10" t="str">
        <f aca="false">IF(H49="Done",1,IF(H49="Partial",0.5,IF(H49="Planned","",0)))</f>
        <v/>
      </c>
      <c r="L49" s="17"/>
      <c r="M49" s="17"/>
      <c r="N49" s="17"/>
    </row>
    <row r="50" customFormat="false" ht="23.85" hidden="false" customHeight="false" outlineLevel="0" collapsed="false">
      <c r="A50" s="4" t="n">
        <v>49</v>
      </c>
      <c r="B50" s="15" t="n">
        <v>46234</v>
      </c>
      <c r="C50" s="4" t="s">
        <v>31</v>
      </c>
      <c r="D50" s="4" t="s">
        <v>136</v>
      </c>
      <c r="E50" s="17" t="s">
        <v>137</v>
      </c>
      <c r="F50" s="4" t="s">
        <v>121</v>
      </c>
      <c r="G50" s="11" t="n">
        <v>120</v>
      </c>
      <c r="H50" s="4" t="s">
        <v>161</v>
      </c>
      <c r="I50" s="11"/>
      <c r="J50" s="11" t="str">
        <f aca="false">IF(AND(ISNUMBER(G50),ISNUMBER(I50)),I50-G50,"")</f>
        <v/>
      </c>
      <c r="K50" s="10" t="str">
        <f aca="false">IF(H50="Done",1,IF(H50="Partial",0.5,IF(H50="Planned","",0)))</f>
        <v/>
      </c>
      <c r="L50" s="17"/>
      <c r="M50" s="17"/>
      <c r="N50" s="17" t="s">
        <v>123</v>
      </c>
    </row>
    <row r="51" customFormat="false" ht="15" hidden="false" customHeight="false" outlineLevel="0" collapsed="false">
      <c r="A51" s="4" t="n">
        <v>50</v>
      </c>
      <c r="B51" s="15" t="n">
        <v>46234</v>
      </c>
      <c r="C51" s="4" t="s">
        <v>33</v>
      </c>
      <c r="D51" s="4" t="s">
        <v>151</v>
      </c>
      <c r="E51" s="17" t="s">
        <v>152</v>
      </c>
      <c r="F51" s="4" t="s">
        <v>121</v>
      </c>
      <c r="G51" s="11" t="n">
        <v>30</v>
      </c>
      <c r="H51" s="4" t="s">
        <v>161</v>
      </c>
      <c r="I51" s="11"/>
      <c r="J51" s="11" t="str">
        <f aca="false">IF(AND(ISNUMBER(G51),ISNUMBER(I51)),I51-G51,"")</f>
        <v/>
      </c>
      <c r="K51" s="10" t="str">
        <f aca="false">IF(H51="Done",1,IF(H51="Partial",0.5,IF(H51="Planned","",0)))</f>
        <v/>
      </c>
      <c r="L51" s="17"/>
      <c r="M51" s="17"/>
      <c r="N51" s="17"/>
    </row>
    <row r="52" customFormat="false" ht="15" hidden="false" customHeight="false" outlineLevel="0" collapsed="false">
      <c r="A52" s="4" t="n">
        <v>51</v>
      </c>
      <c r="B52" s="15" t="n">
        <v>46234</v>
      </c>
      <c r="C52" s="4" t="s">
        <v>29</v>
      </c>
      <c r="D52" s="4" t="s">
        <v>116</v>
      </c>
      <c r="E52" s="17" t="s">
        <v>117</v>
      </c>
      <c r="F52" s="4" t="s">
        <v>121</v>
      </c>
      <c r="G52" s="11" t="n">
        <v>15</v>
      </c>
      <c r="H52" s="4" t="s">
        <v>161</v>
      </c>
      <c r="I52" s="11"/>
      <c r="J52" s="11" t="str">
        <f aca="false">IF(AND(ISNUMBER(G52),ISNUMBER(I52)),I52-G52,"")</f>
        <v/>
      </c>
      <c r="K52" s="10" t="str">
        <f aca="false">IF(H52="Done",1,IF(H52="Partial",0.5,IF(H52="Planned","",0)))</f>
        <v/>
      </c>
      <c r="L52" s="17"/>
      <c r="M52" s="17"/>
      <c r="N52" s="17"/>
    </row>
    <row r="53" customFormat="false" ht="23.85" hidden="false" customHeight="false" outlineLevel="0" collapsed="false">
      <c r="A53" s="4" t="n">
        <v>52</v>
      </c>
      <c r="B53" s="15" t="n">
        <v>46234</v>
      </c>
      <c r="C53" s="4" t="s">
        <v>31</v>
      </c>
      <c r="D53" s="4" t="s">
        <v>119</v>
      </c>
      <c r="E53" s="17" t="s">
        <v>120</v>
      </c>
      <c r="F53" s="4" t="s">
        <v>130</v>
      </c>
      <c r="G53" s="11" t="n">
        <v>60</v>
      </c>
      <c r="H53" s="4" t="s">
        <v>161</v>
      </c>
      <c r="I53" s="11"/>
      <c r="J53" s="11" t="str">
        <f aca="false">IF(AND(ISNUMBER(G53),ISNUMBER(I53)),I53-G53,"")</f>
        <v/>
      </c>
      <c r="K53" s="10" t="str">
        <f aca="false">IF(H53="Done",1,IF(H53="Partial",0.5,IF(H53="Planned","",0)))</f>
        <v/>
      </c>
      <c r="L53" s="17"/>
      <c r="M53" s="17"/>
      <c r="N53" s="17" t="s">
        <v>123</v>
      </c>
    </row>
    <row r="54" customFormat="false" ht="15" hidden="false" customHeight="false" outlineLevel="0" collapsed="false">
      <c r="A54" s="4" t="n">
        <v>53</v>
      </c>
      <c r="B54" s="15" t="n">
        <v>46235</v>
      </c>
      <c r="C54" s="4" t="s">
        <v>30</v>
      </c>
      <c r="D54" s="4" t="s">
        <v>156</v>
      </c>
      <c r="E54" s="17" t="s">
        <v>157</v>
      </c>
      <c r="F54" s="4" t="s">
        <v>121</v>
      </c>
      <c r="G54" s="11" t="n">
        <v>30</v>
      </c>
      <c r="H54" s="4" t="s">
        <v>55</v>
      </c>
      <c r="I54" s="11" t="n">
        <v>34</v>
      </c>
      <c r="J54" s="11" t="n">
        <f aca="false">IF(AND(ISNUMBER(G54),ISNUMBER(I54)),I54-G54,"")</f>
        <v>4</v>
      </c>
      <c r="K54" s="10" t="n">
        <f aca="false">IF(H54="Done",1,IF(H54="Partial",0.5,IF(H54="Planned","",0)))</f>
        <v>1</v>
      </c>
      <c r="L54" s="17"/>
      <c r="M54" s="17"/>
      <c r="N54" s="17" t="s">
        <v>158</v>
      </c>
    </row>
    <row r="55" customFormat="false" ht="15" hidden="false" customHeight="false" outlineLevel="0" collapsed="false">
      <c r="A55" s="4" t="n">
        <v>54</v>
      </c>
      <c r="B55" s="15" t="n">
        <v>46235</v>
      </c>
      <c r="C55" s="4" t="s">
        <v>29</v>
      </c>
      <c r="D55" s="4" t="s">
        <v>131</v>
      </c>
      <c r="E55" s="17" t="s">
        <v>132</v>
      </c>
      <c r="F55" s="4" t="s">
        <v>121</v>
      </c>
      <c r="G55" s="11" t="n">
        <v>20</v>
      </c>
      <c r="H55" s="4" t="s">
        <v>55</v>
      </c>
      <c r="I55" s="11" t="n">
        <v>17</v>
      </c>
      <c r="J55" s="11" t="n">
        <f aca="false">IF(AND(ISNUMBER(G55),ISNUMBER(I55)),I55-G55,"")</f>
        <v>-3</v>
      </c>
      <c r="K55" s="10" t="n">
        <f aca="false">IF(H55="Done",1,IF(H55="Partial",0.5,IF(H55="Planned","",0)))</f>
        <v>1</v>
      </c>
      <c r="L55" s="17"/>
      <c r="M55" s="17"/>
      <c r="N55" s="17" t="s">
        <v>133</v>
      </c>
    </row>
    <row r="56" customFormat="false" ht="23.85" hidden="false" customHeight="false" outlineLevel="0" collapsed="false">
      <c r="A56" s="4" t="n">
        <v>55</v>
      </c>
      <c r="B56" s="15" t="n">
        <v>46235</v>
      </c>
      <c r="C56" s="4" t="s">
        <v>31</v>
      </c>
      <c r="D56" s="4" t="s">
        <v>136</v>
      </c>
      <c r="E56" s="17" t="s">
        <v>137</v>
      </c>
      <c r="F56" s="4" t="s">
        <v>118</v>
      </c>
      <c r="G56" s="11" t="n">
        <v>120</v>
      </c>
      <c r="H56" s="4" t="s">
        <v>126</v>
      </c>
      <c r="I56" s="11"/>
      <c r="J56" s="11" t="str">
        <f aca="false">IF(AND(ISNUMBER(G56),ISNUMBER(I56)),I56-G56,"")</f>
        <v/>
      </c>
      <c r="K56" s="10" t="n">
        <f aca="false">IF(H56="Done",1,IF(H56="Partial",0.5,IF(H56="Planned","",0)))</f>
        <v>0</v>
      </c>
      <c r="L56" s="17"/>
      <c r="M56" s="17" t="s">
        <v>146</v>
      </c>
      <c r="N56" s="17" t="s">
        <v>123</v>
      </c>
    </row>
    <row r="57" customFormat="false" ht="15" hidden="false" customHeight="false" outlineLevel="0" collapsed="false">
      <c r="A57" s="4" t="n">
        <v>56</v>
      </c>
      <c r="B57" s="15" t="n">
        <v>46235</v>
      </c>
      <c r="C57" s="4" t="s">
        <v>31</v>
      </c>
      <c r="D57" s="4" t="s">
        <v>134</v>
      </c>
      <c r="E57" s="17" t="s">
        <v>135</v>
      </c>
      <c r="F57" s="4" t="s">
        <v>118</v>
      </c>
      <c r="G57" s="11" t="n">
        <v>45</v>
      </c>
      <c r="H57" s="4" t="s">
        <v>126</v>
      </c>
      <c r="I57" s="11"/>
      <c r="J57" s="11" t="str">
        <f aca="false">IF(AND(ISNUMBER(G57),ISNUMBER(I57)),I57-G57,"")</f>
        <v/>
      </c>
      <c r="K57" s="10" t="n">
        <f aca="false">IF(H57="Done",1,IF(H57="Partial",0.5,IF(H57="Planned","",0)))</f>
        <v>0</v>
      </c>
      <c r="L57" s="17"/>
      <c r="M57" s="17" t="s">
        <v>146</v>
      </c>
      <c r="N57" s="17"/>
    </row>
    <row r="58" customFormat="false" ht="23.85" hidden="false" customHeight="false" outlineLevel="0" collapsed="false">
      <c r="A58" s="4" t="n">
        <v>57</v>
      </c>
      <c r="B58" s="15" t="n">
        <v>46235</v>
      </c>
      <c r="C58" s="4" t="s">
        <v>31</v>
      </c>
      <c r="D58" s="4" t="s">
        <v>119</v>
      </c>
      <c r="E58" s="17" t="s">
        <v>120</v>
      </c>
      <c r="F58" s="4" t="s">
        <v>121</v>
      </c>
      <c r="G58" s="11" t="n">
        <v>60</v>
      </c>
      <c r="H58" s="4" t="s">
        <v>126</v>
      </c>
      <c r="I58" s="11"/>
      <c r="J58" s="11" t="str">
        <f aca="false">IF(AND(ISNUMBER(G58),ISNUMBER(I58)),I58-G58,"")</f>
        <v/>
      </c>
      <c r="K58" s="10" t="n">
        <f aca="false">IF(H58="Done",1,IF(H58="Partial",0.5,IF(H58="Planned","",0)))</f>
        <v>0</v>
      </c>
      <c r="L58" s="17"/>
      <c r="M58" s="17" t="s">
        <v>127</v>
      </c>
      <c r="N58" s="17" t="s">
        <v>123</v>
      </c>
    </row>
    <row r="59" customFormat="false" ht="15" hidden="false" customHeight="false" outlineLevel="0" collapsed="false">
      <c r="A59" s="4" t="n">
        <v>58</v>
      </c>
      <c r="B59" s="15" t="n">
        <v>46235</v>
      </c>
      <c r="C59" s="4" t="s">
        <v>30</v>
      </c>
      <c r="D59" s="4" t="s">
        <v>128</v>
      </c>
      <c r="E59" s="17" t="s">
        <v>129</v>
      </c>
      <c r="F59" s="4" t="s">
        <v>130</v>
      </c>
      <c r="G59" s="11" t="n">
        <v>40</v>
      </c>
      <c r="H59" s="4" t="s">
        <v>126</v>
      </c>
      <c r="I59" s="11"/>
      <c r="J59" s="11" t="str">
        <f aca="false">IF(AND(ISNUMBER(G59),ISNUMBER(I59)),I59-G59,"")</f>
        <v/>
      </c>
      <c r="K59" s="10" t="n">
        <f aca="false">IF(H59="Done",1,IF(H59="Partial",0.5,IF(H59="Planned","",0)))</f>
        <v>0</v>
      </c>
      <c r="L59" s="17"/>
      <c r="M59" s="17" t="s">
        <v>147</v>
      </c>
      <c r="N59" s="17"/>
    </row>
    <row r="60" customFormat="false" ht="15" hidden="false" customHeight="false" outlineLevel="0" collapsed="false">
      <c r="A60" s="4" t="n">
        <v>59</v>
      </c>
      <c r="B60" s="15" t="n">
        <v>46237</v>
      </c>
      <c r="C60" s="4" t="s">
        <v>34</v>
      </c>
      <c r="D60" s="4" t="s">
        <v>124</v>
      </c>
      <c r="E60" s="17" t="s">
        <v>125</v>
      </c>
      <c r="F60" s="4" t="s">
        <v>130</v>
      </c>
      <c r="G60" s="11" t="n">
        <v>20</v>
      </c>
      <c r="H60" s="4" t="s">
        <v>55</v>
      </c>
      <c r="I60" s="11" t="n">
        <v>25</v>
      </c>
      <c r="J60" s="11" t="n">
        <f aca="false">IF(AND(ISNUMBER(G60),ISNUMBER(I60)),I60-G60,"")</f>
        <v>5</v>
      </c>
      <c r="K60" s="10" t="n">
        <f aca="false">IF(H60="Done",1,IF(H60="Partial",0.5,IF(H60="Planned","",0)))</f>
        <v>1</v>
      </c>
      <c r="L60" s="17"/>
      <c r="M60" s="17"/>
      <c r="N60" s="17"/>
    </row>
    <row r="61" customFormat="false" ht="15" hidden="false" customHeight="false" outlineLevel="0" collapsed="false">
      <c r="A61" s="4" t="n">
        <v>60</v>
      </c>
      <c r="B61" s="15" t="n">
        <v>46237</v>
      </c>
      <c r="C61" s="4" t="s">
        <v>32</v>
      </c>
      <c r="D61" s="4" t="s">
        <v>144</v>
      </c>
      <c r="E61" s="17" t="s">
        <v>145</v>
      </c>
      <c r="F61" s="4" t="s">
        <v>118</v>
      </c>
      <c r="G61" s="11" t="n">
        <v>60</v>
      </c>
      <c r="H61" s="4" t="s">
        <v>150</v>
      </c>
      <c r="I61" s="11"/>
      <c r="J61" s="11" t="str">
        <f aca="false">IF(AND(ISNUMBER(G61),ISNUMBER(I61)),I61-G61,"")</f>
        <v/>
      </c>
      <c r="K61" s="10" t="n">
        <f aca="false">IF(H61="Done",1,IF(H61="Partial",0.5,IF(H61="Planned","",0)))</f>
        <v>0</v>
      </c>
      <c r="L61" s="17"/>
      <c r="M61" s="17" t="s">
        <v>153</v>
      </c>
      <c r="N61" s="17"/>
    </row>
    <row r="62" customFormat="false" ht="15" hidden="false" customHeight="false" outlineLevel="0" collapsed="false">
      <c r="A62" s="4" t="n">
        <v>61</v>
      </c>
      <c r="B62" s="15" t="n">
        <v>46237</v>
      </c>
      <c r="C62" s="4" t="s">
        <v>29</v>
      </c>
      <c r="D62" s="4" t="s">
        <v>116</v>
      </c>
      <c r="E62" s="17" t="s">
        <v>117</v>
      </c>
      <c r="F62" s="4" t="s">
        <v>130</v>
      </c>
      <c r="G62" s="11" t="n">
        <v>15</v>
      </c>
      <c r="H62" s="4" t="s">
        <v>55</v>
      </c>
      <c r="I62" s="11" t="n">
        <v>24</v>
      </c>
      <c r="J62" s="11" t="n">
        <f aca="false">IF(AND(ISNUMBER(G62),ISNUMBER(I62)),I62-G62,"")</f>
        <v>9</v>
      </c>
      <c r="K62" s="10" t="n">
        <f aca="false">IF(H62="Done",1,IF(H62="Partial",0.5,IF(H62="Planned","",0)))</f>
        <v>1</v>
      </c>
      <c r="L62" s="17"/>
      <c r="M62" s="17"/>
      <c r="N62" s="17"/>
    </row>
    <row r="63" customFormat="false" ht="15" hidden="false" customHeight="false" outlineLevel="0" collapsed="false">
      <c r="A63" s="4" t="n">
        <v>62</v>
      </c>
      <c r="B63" s="15" t="n">
        <v>46237</v>
      </c>
      <c r="C63" s="4" t="s">
        <v>35</v>
      </c>
      <c r="D63" s="4" t="s">
        <v>148</v>
      </c>
      <c r="E63" s="17" t="s">
        <v>149</v>
      </c>
      <c r="F63" s="4" t="s">
        <v>130</v>
      </c>
      <c r="G63" s="11" t="n">
        <v>30</v>
      </c>
      <c r="H63" s="4" t="s">
        <v>150</v>
      </c>
      <c r="I63" s="11"/>
      <c r="J63" s="11" t="str">
        <f aca="false">IF(AND(ISNUMBER(G63),ISNUMBER(I63)),I63-G63,"")</f>
        <v/>
      </c>
      <c r="K63" s="10" t="n">
        <f aca="false">IF(H63="Done",1,IF(H63="Partial",0.5,IF(H63="Planned","",0)))</f>
        <v>0</v>
      </c>
      <c r="L63" s="17"/>
      <c r="M63" s="17" t="s">
        <v>153</v>
      </c>
      <c r="N63" s="17"/>
    </row>
    <row r="64" customFormat="false" ht="15" hidden="false" customHeight="false" outlineLevel="0" collapsed="false">
      <c r="A64" s="4" t="n">
        <v>63</v>
      </c>
      <c r="B64" s="15" t="n">
        <v>46238</v>
      </c>
      <c r="C64" s="4" t="s">
        <v>33</v>
      </c>
      <c r="D64" s="4" t="s">
        <v>151</v>
      </c>
      <c r="E64" s="17" t="s">
        <v>152</v>
      </c>
      <c r="F64" s="4" t="s">
        <v>118</v>
      </c>
      <c r="G64" s="11" t="n">
        <v>30</v>
      </c>
      <c r="H64" s="4" t="s">
        <v>126</v>
      </c>
      <c r="I64" s="11"/>
      <c r="J64" s="11" t="str">
        <f aca="false">IF(AND(ISNUMBER(G64),ISNUMBER(I64)),I64-G64,"")</f>
        <v/>
      </c>
      <c r="K64" s="10" t="n">
        <f aca="false">IF(H64="Done",1,IF(H64="Partial",0.5,IF(H64="Planned","",0)))</f>
        <v>0</v>
      </c>
      <c r="L64" s="17"/>
      <c r="M64" s="17" t="s">
        <v>153</v>
      </c>
      <c r="N64" s="17"/>
    </row>
    <row r="65" customFormat="false" ht="23.85" hidden="false" customHeight="false" outlineLevel="0" collapsed="false">
      <c r="A65" s="4" t="n">
        <v>64</v>
      </c>
      <c r="B65" s="15" t="n">
        <v>46238</v>
      </c>
      <c r="C65" s="4" t="s">
        <v>31</v>
      </c>
      <c r="D65" s="4" t="s">
        <v>136</v>
      </c>
      <c r="E65" s="17" t="s">
        <v>137</v>
      </c>
      <c r="F65" s="4" t="s">
        <v>121</v>
      </c>
      <c r="G65" s="11" t="n">
        <v>120</v>
      </c>
      <c r="H65" s="4" t="s">
        <v>55</v>
      </c>
      <c r="I65" s="11" t="n">
        <v>215</v>
      </c>
      <c r="J65" s="11" t="n">
        <f aca="false">IF(AND(ISNUMBER(G65),ISNUMBER(I65)),I65-G65,"")</f>
        <v>95</v>
      </c>
      <c r="K65" s="10" t="n">
        <f aca="false">IF(H65="Done",1,IF(H65="Partial",0.5,IF(H65="Planned","",0)))</f>
        <v>1</v>
      </c>
      <c r="L65" s="17"/>
      <c r="M65" s="17"/>
      <c r="N65" s="17" t="s">
        <v>123</v>
      </c>
    </row>
    <row r="66" customFormat="false" ht="23.85" hidden="false" customHeight="false" outlineLevel="0" collapsed="false">
      <c r="A66" s="4" t="n">
        <v>65</v>
      </c>
      <c r="B66" s="15" t="n">
        <v>46238</v>
      </c>
      <c r="C66" s="4" t="s">
        <v>31</v>
      </c>
      <c r="D66" s="4" t="s">
        <v>119</v>
      </c>
      <c r="E66" s="17" t="s">
        <v>120</v>
      </c>
      <c r="F66" s="4" t="s">
        <v>118</v>
      </c>
      <c r="G66" s="11" t="n">
        <v>60</v>
      </c>
      <c r="H66" s="4" t="s">
        <v>55</v>
      </c>
      <c r="I66" s="11" t="n">
        <v>55</v>
      </c>
      <c r="J66" s="11" t="n">
        <f aca="false">IF(AND(ISNUMBER(G66),ISNUMBER(I66)),I66-G66,"")</f>
        <v>-5</v>
      </c>
      <c r="K66" s="10" t="n">
        <f aca="false">IF(H66="Done",1,IF(H66="Partial",0.5,IF(H66="Planned","",0)))</f>
        <v>1</v>
      </c>
      <c r="L66" s="17"/>
      <c r="M66" s="17"/>
      <c r="N66" s="17" t="s">
        <v>123</v>
      </c>
    </row>
    <row r="67" customFormat="false" ht="15" hidden="false" customHeight="false" outlineLevel="0" collapsed="false">
      <c r="A67" s="4" t="n">
        <v>66</v>
      </c>
      <c r="B67" s="15" t="n">
        <v>46238</v>
      </c>
      <c r="C67" s="4" t="s">
        <v>35</v>
      </c>
      <c r="D67" s="4" t="s">
        <v>148</v>
      </c>
      <c r="E67" s="17" t="s">
        <v>149</v>
      </c>
      <c r="F67" s="4" t="s">
        <v>121</v>
      </c>
      <c r="G67" s="11" t="n">
        <v>30</v>
      </c>
      <c r="H67" s="4" t="s">
        <v>154</v>
      </c>
      <c r="I67" s="11"/>
      <c r="J67" s="11" t="str">
        <f aca="false">IF(AND(ISNUMBER(G67),ISNUMBER(I67)),I67-G67,"")</f>
        <v/>
      </c>
      <c r="K67" s="10" t="n">
        <f aca="false">IF(H67="Done",1,IF(H67="Partial",0.5,IF(H67="Planned","",0)))</f>
        <v>0</v>
      </c>
      <c r="L67" s="17"/>
      <c r="M67" s="17" t="s">
        <v>153</v>
      </c>
      <c r="N67" s="17"/>
    </row>
    <row r="68" customFormat="false" ht="15" hidden="false" customHeight="false" outlineLevel="0" collapsed="false">
      <c r="A68" s="4" t="n">
        <v>67</v>
      </c>
      <c r="B68" s="15" t="n">
        <v>46238</v>
      </c>
      <c r="C68" s="4" t="s">
        <v>32</v>
      </c>
      <c r="D68" s="4" t="s">
        <v>144</v>
      </c>
      <c r="E68" s="17" t="s">
        <v>145</v>
      </c>
      <c r="F68" s="4" t="s">
        <v>130</v>
      </c>
      <c r="G68" s="11" t="n">
        <v>60</v>
      </c>
      <c r="H68" s="4" t="s">
        <v>150</v>
      </c>
      <c r="I68" s="11"/>
      <c r="J68" s="11" t="str">
        <f aca="false">IF(AND(ISNUMBER(G68),ISNUMBER(I68)),I68-G68,"")</f>
        <v/>
      </c>
      <c r="K68" s="10" t="n">
        <f aca="false">IF(H68="Done",1,IF(H68="Partial",0.5,IF(H68="Planned","",0)))</f>
        <v>0</v>
      </c>
      <c r="L68" s="17"/>
      <c r="M68" s="17" t="s">
        <v>153</v>
      </c>
      <c r="N68" s="17"/>
    </row>
    <row r="69" customFormat="false" ht="15" hidden="false" customHeight="false" outlineLevel="0" collapsed="false">
      <c r="A69" s="4" t="n">
        <v>68</v>
      </c>
      <c r="B69" s="15" t="n">
        <v>46239</v>
      </c>
      <c r="C69" s="4" t="s">
        <v>30</v>
      </c>
      <c r="D69" s="4" t="s">
        <v>128</v>
      </c>
      <c r="E69" s="17" t="s">
        <v>129</v>
      </c>
      <c r="F69" s="4" t="s">
        <v>118</v>
      </c>
      <c r="G69" s="11" t="n">
        <v>40</v>
      </c>
      <c r="H69" s="4" t="s">
        <v>55</v>
      </c>
      <c r="I69" s="11" t="n">
        <v>29</v>
      </c>
      <c r="J69" s="11" t="n">
        <f aca="false">IF(AND(ISNUMBER(G69),ISNUMBER(I69)),I69-G69,"")</f>
        <v>-11</v>
      </c>
      <c r="K69" s="10" t="n">
        <f aca="false">IF(H69="Done",1,IF(H69="Partial",0.5,IF(H69="Planned","",0)))</f>
        <v>1</v>
      </c>
      <c r="L69" s="17"/>
      <c r="M69" s="17"/>
      <c r="N69" s="17"/>
    </row>
    <row r="70" customFormat="false" ht="23.85" hidden="false" customHeight="false" outlineLevel="0" collapsed="false">
      <c r="A70" s="4" t="n">
        <v>69</v>
      </c>
      <c r="B70" s="15" t="n">
        <v>46239</v>
      </c>
      <c r="C70" s="4" t="s">
        <v>31</v>
      </c>
      <c r="D70" s="4" t="s">
        <v>119</v>
      </c>
      <c r="E70" s="17" t="s">
        <v>120</v>
      </c>
      <c r="F70" s="4" t="s">
        <v>121</v>
      </c>
      <c r="G70" s="11" t="n">
        <v>60</v>
      </c>
      <c r="H70" s="4" t="s">
        <v>55</v>
      </c>
      <c r="I70" s="11" t="n">
        <v>74</v>
      </c>
      <c r="J70" s="11" t="n">
        <f aca="false">IF(AND(ISNUMBER(G70),ISNUMBER(I70)),I70-G70,"")</f>
        <v>14</v>
      </c>
      <c r="K70" s="10" t="n">
        <f aca="false">IF(H70="Done",1,IF(H70="Partial",0.5,IF(H70="Planned","",0)))</f>
        <v>1</v>
      </c>
      <c r="L70" s="17" t="s">
        <v>162</v>
      </c>
      <c r="M70" s="17"/>
      <c r="N70" s="17" t="s">
        <v>123</v>
      </c>
    </row>
    <row r="71" customFormat="false" ht="15" hidden="false" customHeight="false" outlineLevel="0" collapsed="false">
      <c r="A71" s="4" t="n">
        <v>70</v>
      </c>
      <c r="B71" s="15" t="n">
        <v>46239</v>
      </c>
      <c r="C71" s="4" t="s">
        <v>30</v>
      </c>
      <c r="D71" s="4" t="s">
        <v>156</v>
      </c>
      <c r="E71" s="17" t="s">
        <v>157</v>
      </c>
      <c r="F71" s="4" t="s">
        <v>118</v>
      </c>
      <c r="G71" s="11" t="n">
        <v>30</v>
      </c>
      <c r="H71" s="4" t="s">
        <v>150</v>
      </c>
      <c r="I71" s="11"/>
      <c r="J71" s="11" t="str">
        <f aca="false">IF(AND(ISNUMBER(G71),ISNUMBER(I71)),I71-G71,"")</f>
        <v/>
      </c>
      <c r="K71" s="10" t="n">
        <f aca="false">IF(H71="Done",1,IF(H71="Partial",0.5,IF(H71="Planned","",0)))</f>
        <v>0</v>
      </c>
      <c r="L71" s="17"/>
      <c r="M71" s="17" t="s">
        <v>127</v>
      </c>
      <c r="N71" s="17" t="s">
        <v>158</v>
      </c>
    </row>
    <row r="72" customFormat="false" ht="23.85" hidden="false" customHeight="false" outlineLevel="0" collapsed="false">
      <c r="A72" s="4" t="n">
        <v>71</v>
      </c>
      <c r="B72" s="15" t="n">
        <v>46239</v>
      </c>
      <c r="C72" s="4" t="s">
        <v>31</v>
      </c>
      <c r="D72" s="4" t="s">
        <v>136</v>
      </c>
      <c r="E72" s="17" t="s">
        <v>137</v>
      </c>
      <c r="F72" s="4" t="s">
        <v>118</v>
      </c>
      <c r="G72" s="11" t="n">
        <v>120</v>
      </c>
      <c r="H72" s="4" t="s">
        <v>55</v>
      </c>
      <c r="I72" s="11" t="n">
        <v>174</v>
      </c>
      <c r="J72" s="11" t="n">
        <f aca="false">IF(AND(ISNUMBER(G72),ISNUMBER(I72)),I72-G72,"")</f>
        <v>54</v>
      </c>
      <c r="K72" s="10" t="n">
        <f aca="false">IF(H72="Done",1,IF(H72="Partial",0.5,IF(H72="Planned","",0)))</f>
        <v>1</v>
      </c>
      <c r="L72" s="17"/>
      <c r="M72" s="17"/>
      <c r="N72" s="17" t="s">
        <v>123</v>
      </c>
    </row>
    <row r="73" customFormat="false" ht="15" hidden="false" customHeight="false" outlineLevel="0" collapsed="false">
      <c r="A73" s="4" t="n">
        <v>72</v>
      </c>
      <c r="B73" s="15" t="n">
        <v>46240</v>
      </c>
      <c r="C73" s="4" t="s">
        <v>34</v>
      </c>
      <c r="D73" s="4" t="s">
        <v>124</v>
      </c>
      <c r="E73" s="17" t="s">
        <v>125</v>
      </c>
      <c r="F73" s="4" t="s">
        <v>130</v>
      </c>
      <c r="G73" s="11" t="n">
        <v>20</v>
      </c>
      <c r="H73" s="4" t="s">
        <v>55</v>
      </c>
      <c r="I73" s="11" t="n">
        <v>19</v>
      </c>
      <c r="J73" s="11" t="n">
        <f aca="false">IF(AND(ISNUMBER(G73),ISNUMBER(I73)),I73-G73,"")</f>
        <v>-1</v>
      </c>
      <c r="K73" s="10" t="n">
        <f aca="false">IF(H73="Done",1,IF(H73="Partial",0.5,IF(H73="Planned","",0)))</f>
        <v>1</v>
      </c>
      <c r="L73" s="17"/>
      <c r="M73" s="17"/>
      <c r="N73" s="17"/>
    </row>
    <row r="74" customFormat="false" ht="15" hidden="false" customHeight="false" outlineLevel="0" collapsed="false">
      <c r="A74" s="4" t="n">
        <v>73</v>
      </c>
      <c r="B74" s="15" t="n">
        <v>46240</v>
      </c>
      <c r="C74" s="4" t="s">
        <v>30</v>
      </c>
      <c r="D74" s="4" t="s">
        <v>128</v>
      </c>
      <c r="E74" s="17" t="s">
        <v>129</v>
      </c>
      <c r="F74" s="4" t="s">
        <v>121</v>
      </c>
      <c r="G74" s="11" t="n">
        <v>40</v>
      </c>
      <c r="H74" s="4" t="s">
        <v>55</v>
      </c>
      <c r="I74" s="11" t="n">
        <v>26</v>
      </c>
      <c r="J74" s="11" t="n">
        <f aca="false">IF(AND(ISNUMBER(G74),ISNUMBER(I74)),I74-G74,"")</f>
        <v>-14</v>
      </c>
      <c r="K74" s="10" t="n">
        <f aca="false">IF(H74="Done",1,IF(H74="Partial",0.5,IF(H74="Planned","",0)))</f>
        <v>1</v>
      </c>
      <c r="L74" s="17"/>
      <c r="M74" s="17"/>
      <c r="N74" s="17"/>
    </row>
    <row r="75" customFormat="false" ht="23.85" hidden="false" customHeight="false" outlineLevel="0" collapsed="false">
      <c r="A75" s="4" t="n">
        <v>74</v>
      </c>
      <c r="B75" s="15" t="n">
        <v>46240</v>
      </c>
      <c r="C75" s="4" t="s">
        <v>31</v>
      </c>
      <c r="D75" s="4" t="s">
        <v>136</v>
      </c>
      <c r="E75" s="17" t="s">
        <v>137</v>
      </c>
      <c r="F75" s="4" t="s">
        <v>121</v>
      </c>
      <c r="G75" s="11" t="n">
        <v>120</v>
      </c>
      <c r="H75" s="4" t="s">
        <v>55</v>
      </c>
      <c r="I75" s="11" t="n">
        <v>143</v>
      </c>
      <c r="J75" s="11" t="n">
        <f aca="false">IF(AND(ISNUMBER(G75),ISNUMBER(I75)),I75-G75,"")</f>
        <v>23</v>
      </c>
      <c r="K75" s="10" t="n">
        <f aca="false">IF(H75="Done",1,IF(H75="Partial",0.5,IF(H75="Planned","",0)))</f>
        <v>1</v>
      </c>
      <c r="L75" s="17"/>
      <c r="M75" s="17"/>
      <c r="N75" s="17" t="s">
        <v>123</v>
      </c>
    </row>
    <row r="76" customFormat="false" ht="23.85" hidden="false" customHeight="false" outlineLevel="0" collapsed="false">
      <c r="A76" s="4" t="n">
        <v>75</v>
      </c>
      <c r="B76" s="15" t="n">
        <v>46240</v>
      </c>
      <c r="C76" s="4" t="s">
        <v>31</v>
      </c>
      <c r="D76" s="4" t="s">
        <v>119</v>
      </c>
      <c r="E76" s="17" t="s">
        <v>120</v>
      </c>
      <c r="F76" s="4" t="s">
        <v>130</v>
      </c>
      <c r="G76" s="11" t="n">
        <v>60</v>
      </c>
      <c r="H76" s="4" t="s">
        <v>55</v>
      </c>
      <c r="I76" s="11" t="n">
        <v>78</v>
      </c>
      <c r="J76" s="11" t="n">
        <f aca="false">IF(AND(ISNUMBER(G76),ISNUMBER(I76)),I76-G76,"")</f>
        <v>18</v>
      </c>
      <c r="K76" s="10" t="n">
        <f aca="false">IF(H76="Done",1,IF(H76="Partial",0.5,IF(H76="Planned","",0)))</f>
        <v>1</v>
      </c>
      <c r="L76" s="17"/>
      <c r="M76" s="17"/>
      <c r="N76" s="17" t="s">
        <v>123</v>
      </c>
    </row>
    <row r="77" customFormat="false" ht="15" hidden="false" customHeight="false" outlineLevel="0" collapsed="false">
      <c r="A77" s="4" t="n">
        <v>76</v>
      </c>
      <c r="B77" s="15" t="n">
        <v>46241</v>
      </c>
      <c r="C77" s="4" t="s">
        <v>32</v>
      </c>
      <c r="D77" s="4" t="s">
        <v>144</v>
      </c>
      <c r="E77" s="17" t="s">
        <v>145</v>
      </c>
      <c r="F77" s="4" t="s">
        <v>118</v>
      </c>
      <c r="G77" s="11" t="n">
        <v>60</v>
      </c>
      <c r="H77" s="4" t="s">
        <v>154</v>
      </c>
      <c r="I77" s="11"/>
      <c r="J77" s="11" t="str">
        <f aca="false">IF(AND(ISNUMBER(G77),ISNUMBER(I77)),I77-G77,"")</f>
        <v/>
      </c>
      <c r="K77" s="10" t="n">
        <f aca="false">IF(H77="Done",1,IF(H77="Partial",0.5,IF(H77="Planned","",0)))</f>
        <v>0</v>
      </c>
      <c r="L77" s="17"/>
      <c r="M77" s="17" t="s">
        <v>147</v>
      </c>
      <c r="N77" s="17"/>
    </row>
    <row r="78" customFormat="false" ht="23.85" hidden="false" customHeight="false" outlineLevel="0" collapsed="false">
      <c r="A78" s="4" t="n">
        <v>77</v>
      </c>
      <c r="B78" s="15" t="n">
        <v>46241</v>
      </c>
      <c r="C78" s="4" t="s">
        <v>31</v>
      </c>
      <c r="D78" s="4" t="s">
        <v>136</v>
      </c>
      <c r="E78" s="17" t="s">
        <v>137</v>
      </c>
      <c r="F78" s="4" t="s">
        <v>118</v>
      </c>
      <c r="G78" s="11" t="n">
        <v>120</v>
      </c>
      <c r="H78" s="4" t="s">
        <v>126</v>
      </c>
      <c r="I78" s="11"/>
      <c r="J78" s="11" t="str">
        <f aca="false">IF(AND(ISNUMBER(G78),ISNUMBER(I78)),I78-G78,"")</f>
        <v/>
      </c>
      <c r="K78" s="10" t="n">
        <f aca="false">IF(H78="Done",1,IF(H78="Partial",0.5,IF(H78="Planned","",0)))</f>
        <v>0</v>
      </c>
      <c r="L78" s="17"/>
      <c r="M78" s="17" t="s">
        <v>127</v>
      </c>
      <c r="N78" s="17" t="s">
        <v>123</v>
      </c>
    </row>
    <row r="79" customFormat="false" ht="15" hidden="false" customHeight="false" outlineLevel="0" collapsed="false">
      <c r="A79" s="4" t="n">
        <v>78</v>
      </c>
      <c r="B79" s="15" t="n">
        <v>46241</v>
      </c>
      <c r="C79" s="4" t="s">
        <v>29</v>
      </c>
      <c r="D79" s="4" t="s">
        <v>131</v>
      </c>
      <c r="E79" s="17" t="s">
        <v>132</v>
      </c>
      <c r="F79" s="4" t="s">
        <v>121</v>
      </c>
      <c r="G79" s="11" t="n">
        <v>20</v>
      </c>
      <c r="H79" s="4" t="s">
        <v>126</v>
      </c>
      <c r="I79" s="11"/>
      <c r="J79" s="11" t="str">
        <f aca="false">IF(AND(ISNUMBER(G79),ISNUMBER(I79)),I79-G79,"")</f>
        <v/>
      </c>
      <c r="K79" s="10" t="n">
        <f aca="false">IF(H79="Done",1,IF(H79="Partial",0.5,IF(H79="Planned","",0)))</f>
        <v>0</v>
      </c>
      <c r="L79" s="17"/>
      <c r="M79" s="17" t="s">
        <v>147</v>
      </c>
      <c r="N79" s="17" t="s">
        <v>133</v>
      </c>
    </row>
    <row r="80" customFormat="false" ht="15" hidden="false" customHeight="false" outlineLevel="0" collapsed="false">
      <c r="A80" s="4" t="n">
        <v>79</v>
      </c>
      <c r="B80" s="15" t="n">
        <v>46241</v>
      </c>
      <c r="C80" s="4" t="s">
        <v>29</v>
      </c>
      <c r="D80" s="4" t="s">
        <v>116</v>
      </c>
      <c r="E80" s="17" t="s">
        <v>117</v>
      </c>
      <c r="F80" s="4" t="s">
        <v>121</v>
      </c>
      <c r="G80" s="11" t="n">
        <v>15</v>
      </c>
      <c r="H80" s="4" t="s">
        <v>55</v>
      </c>
      <c r="I80" s="11" t="n">
        <v>16</v>
      </c>
      <c r="J80" s="11" t="n">
        <f aca="false">IF(AND(ISNUMBER(G80),ISNUMBER(I80)),I80-G80,"")</f>
        <v>1</v>
      </c>
      <c r="K80" s="10" t="n">
        <f aca="false">IF(H80="Done",1,IF(H80="Partial",0.5,IF(H80="Planned","",0)))</f>
        <v>1</v>
      </c>
      <c r="L80" s="17"/>
      <c r="M80" s="17"/>
      <c r="N80" s="17"/>
    </row>
    <row r="81" customFormat="false" ht="15" hidden="false" customHeight="false" outlineLevel="0" collapsed="false">
      <c r="A81" s="4" t="n">
        <v>80</v>
      </c>
      <c r="B81" s="15" t="n">
        <v>46241</v>
      </c>
      <c r="C81" s="4" t="s">
        <v>30</v>
      </c>
      <c r="D81" s="4" t="s">
        <v>128</v>
      </c>
      <c r="E81" s="17" t="s">
        <v>129</v>
      </c>
      <c r="F81" s="4" t="s">
        <v>130</v>
      </c>
      <c r="G81" s="11" t="n">
        <v>40</v>
      </c>
      <c r="H81" s="4" t="s">
        <v>55</v>
      </c>
      <c r="I81" s="11" t="n">
        <v>30</v>
      </c>
      <c r="J81" s="11" t="n">
        <f aca="false">IF(AND(ISNUMBER(G81),ISNUMBER(I81)),I81-G81,"")</f>
        <v>-10</v>
      </c>
      <c r="K81" s="10" t="n">
        <f aca="false">IF(H81="Done",1,IF(H81="Partial",0.5,IF(H81="Planned","",0)))</f>
        <v>1</v>
      </c>
      <c r="L81" s="17"/>
      <c r="M81" s="17"/>
      <c r="N81" s="17"/>
    </row>
    <row r="82" customFormat="false" ht="15" hidden="false" customHeight="false" outlineLevel="0" collapsed="false">
      <c r="A82" s="4" t="n">
        <v>81</v>
      </c>
      <c r="B82" s="15" t="n">
        <v>46242</v>
      </c>
      <c r="C82" s="4" t="s">
        <v>30</v>
      </c>
      <c r="D82" s="4" t="s">
        <v>128</v>
      </c>
      <c r="E82" s="17" t="s">
        <v>129</v>
      </c>
      <c r="F82" s="4" t="s">
        <v>121</v>
      </c>
      <c r="G82" s="11" t="n">
        <v>40</v>
      </c>
      <c r="H82" s="4" t="s">
        <v>55</v>
      </c>
      <c r="I82" s="11" t="n">
        <v>40</v>
      </c>
      <c r="J82" s="11" t="n">
        <f aca="false">IF(AND(ISNUMBER(G82),ISNUMBER(I82)),I82-G82,"")</f>
        <v>0</v>
      </c>
      <c r="K82" s="10" t="n">
        <f aca="false">IF(H82="Done",1,IF(H82="Partial",0.5,IF(H82="Planned","",0)))</f>
        <v>1</v>
      </c>
      <c r="L82" s="17"/>
      <c r="M82" s="17"/>
      <c r="N82" s="17"/>
    </row>
    <row r="83" customFormat="false" ht="23.85" hidden="false" customHeight="false" outlineLevel="0" collapsed="false">
      <c r="A83" s="4" t="n">
        <v>82</v>
      </c>
      <c r="B83" s="15" t="n">
        <v>46242</v>
      </c>
      <c r="C83" s="4" t="s">
        <v>31</v>
      </c>
      <c r="D83" s="4" t="s">
        <v>119</v>
      </c>
      <c r="E83" s="17" t="s">
        <v>120</v>
      </c>
      <c r="F83" s="4" t="s">
        <v>130</v>
      </c>
      <c r="G83" s="11" t="n">
        <v>60</v>
      </c>
      <c r="H83" s="4" t="s">
        <v>55</v>
      </c>
      <c r="I83" s="11" t="n">
        <v>81</v>
      </c>
      <c r="J83" s="11" t="n">
        <f aca="false">IF(AND(ISNUMBER(G83),ISNUMBER(I83)),I83-G83,"")</f>
        <v>21</v>
      </c>
      <c r="K83" s="10" t="n">
        <f aca="false">IF(H83="Done",1,IF(H83="Partial",0.5,IF(H83="Planned","",0)))</f>
        <v>1</v>
      </c>
      <c r="L83" s="17"/>
      <c r="M83" s="17"/>
      <c r="N83" s="17" t="s">
        <v>123</v>
      </c>
    </row>
    <row r="84" customFormat="false" ht="15" hidden="false" customHeight="false" outlineLevel="0" collapsed="false">
      <c r="A84" s="4" t="n">
        <v>83</v>
      </c>
      <c r="B84" s="15" t="n">
        <v>46243</v>
      </c>
      <c r="C84" s="4" t="s">
        <v>30</v>
      </c>
      <c r="D84" s="4" t="s">
        <v>156</v>
      </c>
      <c r="E84" s="17" t="s">
        <v>157</v>
      </c>
      <c r="F84" s="4" t="s">
        <v>121</v>
      </c>
      <c r="G84" s="11" t="n">
        <v>30</v>
      </c>
      <c r="H84" s="4" t="s">
        <v>154</v>
      </c>
      <c r="I84" s="11"/>
      <c r="J84" s="11" t="str">
        <f aca="false">IF(AND(ISNUMBER(G84),ISNUMBER(I84)),I84-G84,"")</f>
        <v/>
      </c>
      <c r="K84" s="10" t="n">
        <f aca="false">IF(H84="Done",1,IF(H84="Partial",0.5,IF(H84="Planned","",0)))</f>
        <v>0</v>
      </c>
      <c r="L84" s="17"/>
      <c r="M84" s="17" t="s">
        <v>155</v>
      </c>
      <c r="N84" s="17" t="s">
        <v>158</v>
      </c>
    </row>
    <row r="85" customFormat="false" ht="15" hidden="false" customHeight="false" outlineLevel="0" collapsed="false">
      <c r="A85" s="4" t="n">
        <v>84</v>
      </c>
      <c r="B85" s="15" t="n">
        <v>46243</v>
      </c>
      <c r="C85" s="4" t="s">
        <v>31</v>
      </c>
      <c r="D85" s="4" t="s">
        <v>134</v>
      </c>
      <c r="E85" s="17" t="s">
        <v>135</v>
      </c>
      <c r="F85" s="4" t="s">
        <v>118</v>
      </c>
      <c r="G85" s="11" t="n">
        <v>45</v>
      </c>
      <c r="H85" s="4" t="s">
        <v>154</v>
      </c>
      <c r="I85" s="11"/>
      <c r="J85" s="11" t="str">
        <f aca="false">IF(AND(ISNUMBER(G85),ISNUMBER(I85)),I85-G85,"")</f>
        <v/>
      </c>
      <c r="K85" s="10" t="n">
        <f aca="false">IF(H85="Done",1,IF(H85="Partial",0.5,IF(H85="Planned","",0)))</f>
        <v>0</v>
      </c>
      <c r="L85" s="17"/>
      <c r="M85" s="17" t="s">
        <v>155</v>
      </c>
      <c r="N85" s="17"/>
    </row>
    <row r="86" customFormat="false" ht="15" hidden="false" customHeight="false" outlineLevel="0" collapsed="false">
      <c r="A86" s="4" t="n">
        <v>85</v>
      </c>
      <c r="B86" s="15" t="n">
        <v>46243</v>
      </c>
      <c r="C86" s="4" t="s">
        <v>30</v>
      </c>
      <c r="D86" s="4" t="s">
        <v>128</v>
      </c>
      <c r="E86" s="17" t="s">
        <v>129</v>
      </c>
      <c r="F86" s="4" t="s">
        <v>121</v>
      </c>
      <c r="G86" s="11" t="n">
        <v>40</v>
      </c>
      <c r="H86" s="4" t="s">
        <v>150</v>
      </c>
      <c r="I86" s="11"/>
      <c r="J86" s="11" t="str">
        <f aca="false">IF(AND(ISNUMBER(G86),ISNUMBER(I86)),I86-G86,"")</f>
        <v/>
      </c>
      <c r="K86" s="10" t="n">
        <f aca="false">IF(H86="Done",1,IF(H86="Partial",0.5,IF(H86="Planned","",0)))</f>
        <v>0</v>
      </c>
      <c r="L86" s="17"/>
      <c r="M86" s="17" t="s">
        <v>147</v>
      </c>
      <c r="N86" s="17"/>
    </row>
    <row r="87" customFormat="false" ht="15" hidden="false" customHeight="false" outlineLevel="0" collapsed="false">
      <c r="A87" s="4" t="n">
        <v>86</v>
      </c>
      <c r="B87" s="15" t="n">
        <v>46243</v>
      </c>
      <c r="C87" s="4" t="s">
        <v>32</v>
      </c>
      <c r="D87" s="4" t="s">
        <v>144</v>
      </c>
      <c r="E87" s="17" t="s">
        <v>145</v>
      </c>
      <c r="F87" s="4" t="s">
        <v>121</v>
      </c>
      <c r="G87" s="11" t="n">
        <v>60</v>
      </c>
      <c r="H87" s="4" t="s">
        <v>150</v>
      </c>
      <c r="I87" s="11"/>
      <c r="J87" s="11" t="str">
        <f aca="false">IF(AND(ISNUMBER(G87),ISNUMBER(I87)),I87-G87,"")</f>
        <v/>
      </c>
      <c r="K87" s="10" t="n">
        <f aca="false">IF(H87="Done",1,IF(H87="Partial",0.5,IF(H87="Planned","",0)))</f>
        <v>0</v>
      </c>
      <c r="L87" s="17"/>
      <c r="M87" s="17" t="s">
        <v>127</v>
      </c>
      <c r="N87" s="17"/>
    </row>
    <row r="88" customFormat="false" ht="15" hidden="false" customHeight="false" outlineLevel="0" collapsed="false">
      <c r="A88" s="4" t="n">
        <v>87</v>
      </c>
      <c r="B88" s="15" t="n">
        <v>46243</v>
      </c>
      <c r="C88" s="4" t="s">
        <v>32</v>
      </c>
      <c r="D88" s="4" t="s">
        <v>140</v>
      </c>
      <c r="E88" s="17" t="s">
        <v>141</v>
      </c>
      <c r="F88" s="4" t="s">
        <v>130</v>
      </c>
      <c r="G88" s="11" t="n">
        <v>45</v>
      </c>
      <c r="H88" s="4" t="s">
        <v>126</v>
      </c>
      <c r="I88" s="11"/>
      <c r="J88" s="11" t="str">
        <f aca="false">IF(AND(ISNUMBER(G88),ISNUMBER(I88)),I88-G88,"")</f>
        <v/>
      </c>
      <c r="K88" s="10" t="n">
        <f aca="false">IF(H88="Done",1,IF(H88="Partial",0.5,IF(H88="Planned","",0)))</f>
        <v>0</v>
      </c>
      <c r="L88" s="17"/>
      <c r="M88" s="17" t="s">
        <v>147</v>
      </c>
      <c r="N88" s="17" t="s">
        <v>143</v>
      </c>
    </row>
    <row r="89" customFormat="false" ht="15" hidden="false" customHeight="false" outlineLevel="0" collapsed="false">
      <c r="A89" s="4" t="n">
        <v>88</v>
      </c>
      <c r="B89" s="15" t="n">
        <v>46243</v>
      </c>
      <c r="C89" s="4" t="s">
        <v>33</v>
      </c>
      <c r="D89" s="4" t="s">
        <v>151</v>
      </c>
      <c r="E89" s="17" t="s">
        <v>152</v>
      </c>
      <c r="F89" s="4" t="s">
        <v>121</v>
      </c>
      <c r="G89" s="11" t="n">
        <v>30</v>
      </c>
      <c r="H89" s="4" t="s">
        <v>55</v>
      </c>
      <c r="I89" s="11" t="n">
        <v>35</v>
      </c>
      <c r="J89" s="11" t="n">
        <f aca="false">IF(AND(ISNUMBER(G89),ISNUMBER(I89)),I89-G89,"")</f>
        <v>5</v>
      </c>
      <c r="K89" s="10" t="n">
        <f aca="false">IF(H89="Done",1,IF(H89="Partial",0.5,IF(H89="Planned","",0)))</f>
        <v>1</v>
      </c>
      <c r="L89" s="17"/>
      <c r="M89" s="17"/>
      <c r="N89" s="17"/>
    </row>
    <row r="90" customFormat="false" ht="23.85" hidden="false" customHeight="false" outlineLevel="0" collapsed="false">
      <c r="A90" s="4" t="n">
        <v>89</v>
      </c>
      <c r="B90" s="15" t="n">
        <v>46243</v>
      </c>
      <c r="C90" s="4" t="s">
        <v>31</v>
      </c>
      <c r="D90" s="4" t="s">
        <v>119</v>
      </c>
      <c r="E90" s="17" t="s">
        <v>120</v>
      </c>
      <c r="F90" s="4" t="s">
        <v>121</v>
      </c>
      <c r="G90" s="11" t="n">
        <v>60</v>
      </c>
      <c r="H90" s="4" t="s">
        <v>126</v>
      </c>
      <c r="I90" s="11"/>
      <c r="J90" s="11" t="str">
        <f aca="false">IF(AND(ISNUMBER(G90),ISNUMBER(I90)),I90-G90,"")</f>
        <v/>
      </c>
      <c r="K90" s="10" t="n">
        <f aca="false">IF(H90="Done",1,IF(H90="Partial",0.5,IF(H90="Planned","",0)))</f>
        <v>0</v>
      </c>
      <c r="L90" s="17"/>
      <c r="M90" s="17" t="s">
        <v>127</v>
      </c>
      <c r="N90" s="17" t="s">
        <v>123</v>
      </c>
    </row>
    <row r="91" customFormat="false" ht="15" hidden="false" customHeight="false" outlineLevel="0" collapsed="false">
      <c r="A91" s="4" t="n">
        <v>90</v>
      </c>
      <c r="B91" s="15" t="n">
        <v>46244</v>
      </c>
      <c r="C91" s="4" t="s">
        <v>34</v>
      </c>
      <c r="D91" s="4" t="s">
        <v>124</v>
      </c>
      <c r="E91" s="17" t="s">
        <v>125</v>
      </c>
      <c r="F91" s="4" t="s">
        <v>130</v>
      </c>
      <c r="G91" s="11" t="n">
        <v>20</v>
      </c>
      <c r="H91" s="4" t="s">
        <v>55</v>
      </c>
      <c r="I91" s="11" t="n">
        <v>31</v>
      </c>
      <c r="J91" s="11" t="n">
        <f aca="false">IF(AND(ISNUMBER(G91),ISNUMBER(I91)),I91-G91,"")</f>
        <v>11</v>
      </c>
      <c r="K91" s="10" t="n">
        <f aca="false">IF(H91="Done",1,IF(H91="Partial",0.5,IF(H91="Planned","",0)))</f>
        <v>1</v>
      </c>
      <c r="L91" s="17"/>
      <c r="M91" s="17"/>
      <c r="N91" s="17"/>
    </row>
    <row r="92" customFormat="false" ht="15" hidden="false" customHeight="false" outlineLevel="0" collapsed="false">
      <c r="A92" s="4" t="n">
        <v>91</v>
      </c>
      <c r="B92" s="15" t="n">
        <v>46244</v>
      </c>
      <c r="C92" s="4" t="s">
        <v>29</v>
      </c>
      <c r="D92" s="4" t="s">
        <v>116</v>
      </c>
      <c r="E92" s="17" t="s">
        <v>117</v>
      </c>
      <c r="F92" s="4" t="s">
        <v>118</v>
      </c>
      <c r="G92" s="11" t="n">
        <v>15</v>
      </c>
      <c r="H92" s="4" t="s">
        <v>55</v>
      </c>
      <c r="I92" s="11" t="n">
        <v>18</v>
      </c>
      <c r="J92" s="11" t="n">
        <f aca="false">IF(AND(ISNUMBER(G92),ISNUMBER(I92)),I92-G92,"")</f>
        <v>3</v>
      </c>
      <c r="K92" s="10" t="n">
        <f aca="false">IF(H92="Done",1,IF(H92="Partial",0.5,IF(H92="Planned","",0)))</f>
        <v>1</v>
      </c>
      <c r="L92" s="17"/>
      <c r="M92" s="17"/>
      <c r="N92" s="17"/>
    </row>
    <row r="93" customFormat="false" ht="23.85" hidden="false" customHeight="false" outlineLevel="0" collapsed="false">
      <c r="A93" s="4" t="n">
        <v>92</v>
      </c>
      <c r="B93" s="15" t="n">
        <v>46244</v>
      </c>
      <c r="C93" s="4" t="s">
        <v>31</v>
      </c>
      <c r="D93" s="4" t="s">
        <v>119</v>
      </c>
      <c r="E93" s="17" t="s">
        <v>120</v>
      </c>
      <c r="F93" s="4" t="s">
        <v>118</v>
      </c>
      <c r="G93" s="11" t="n">
        <v>60</v>
      </c>
      <c r="H93" s="4" t="s">
        <v>55</v>
      </c>
      <c r="I93" s="11" t="n">
        <v>51</v>
      </c>
      <c r="J93" s="11" t="n">
        <f aca="false">IF(AND(ISNUMBER(G93),ISNUMBER(I93)),I93-G93,"")</f>
        <v>-9</v>
      </c>
      <c r="K93" s="10" t="n">
        <f aca="false">IF(H93="Done",1,IF(H93="Partial",0.5,IF(H93="Planned","",0)))</f>
        <v>1</v>
      </c>
      <c r="L93" s="17"/>
      <c r="M93" s="17"/>
      <c r="N93" s="17" t="s">
        <v>123</v>
      </c>
    </row>
    <row r="94" customFormat="false" ht="15" hidden="false" customHeight="false" outlineLevel="0" collapsed="false">
      <c r="A94" s="4" t="n">
        <v>93</v>
      </c>
      <c r="B94" s="15" t="n">
        <v>46244</v>
      </c>
      <c r="C94" s="4" t="s">
        <v>32</v>
      </c>
      <c r="D94" s="4" t="s">
        <v>140</v>
      </c>
      <c r="E94" s="17" t="s">
        <v>141</v>
      </c>
      <c r="F94" s="4" t="s">
        <v>130</v>
      </c>
      <c r="G94" s="11" t="n">
        <v>45</v>
      </c>
      <c r="H94" s="4" t="s">
        <v>126</v>
      </c>
      <c r="I94" s="11"/>
      <c r="J94" s="11" t="str">
        <f aca="false">IF(AND(ISNUMBER(G94),ISNUMBER(I94)),I94-G94,"")</f>
        <v/>
      </c>
      <c r="K94" s="10" t="n">
        <f aca="false">IF(H94="Done",1,IF(H94="Partial",0.5,IF(H94="Planned","",0)))</f>
        <v>0</v>
      </c>
      <c r="L94" s="17"/>
      <c r="M94" s="17" t="s">
        <v>142</v>
      </c>
      <c r="N94" s="17" t="s">
        <v>143</v>
      </c>
    </row>
    <row r="95" customFormat="false" ht="15" hidden="false" customHeight="false" outlineLevel="0" collapsed="false">
      <c r="A95" s="4" t="n">
        <v>94</v>
      </c>
      <c r="B95" s="15" t="n">
        <v>46244</v>
      </c>
      <c r="C95" s="4" t="s">
        <v>31</v>
      </c>
      <c r="D95" s="4" t="s">
        <v>134</v>
      </c>
      <c r="E95" s="17" t="s">
        <v>135</v>
      </c>
      <c r="F95" s="4" t="s">
        <v>118</v>
      </c>
      <c r="G95" s="11" t="n">
        <v>45</v>
      </c>
      <c r="H95" s="4" t="s">
        <v>55</v>
      </c>
      <c r="I95" s="11" t="n">
        <v>59</v>
      </c>
      <c r="J95" s="11" t="n">
        <f aca="false">IF(AND(ISNUMBER(G95),ISNUMBER(I95)),I95-G95,"")</f>
        <v>14</v>
      </c>
      <c r="K95" s="10" t="n">
        <f aca="false">IF(H95="Done",1,IF(H95="Partial",0.5,IF(H95="Planned","",0)))</f>
        <v>1</v>
      </c>
      <c r="L95" s="17"/>
      <c r="M95" s="17"/>
      <c r="N95" s="17"/>
    </row>
    <row r="96" customFormat="false" ht="15" hidden="false" customHeight="false" outlineLevel="0" collapsed="false">
      <c r="A96" s="4" t="n">
        <v>95</v>
      </c>
      <c r="B96" s="15" t="n">
        <v>46245</v>
      </c>
      <c r="C96" s="4" t="s">
        <v>30</v>
      </c>
      <c r="D96" s="4" t="s">
        <v>156</v>
      </c>
      <c r="E96" s="17" t="s">
        <v>157</v>
      </c>
      <c r="F96" s="4" t="s">
        <v>130</v>
      </c>
      <c r="G96" s="11" t="n">
        <v>30</v>
      </c>
      <c r="H96" s="4" t="s">
        <v>154</v>
      </c>
      <c r="I96" s="11"/>
      <c r="J96" s="11" t="str">
        <f aca="false">IF(AND(ISNUMBER(G96),ISNUMBER(I96)),I96-G96,"")</f>
        <v/>
      </c>
      <c r="K96" s="10" t="n">
        <f aca="false">IF(H96="Done",1,IF(H96="Partial",0.5,IF(H96="Planned","",0)))</f>
        <v>0</v>
      </c>
      <c r="L96" s="17"/>
      <c r="M96" s="17" t="s">
        <v>146</v>
      </c>
      <c r="N96" s="17" t="s">
        <v>158</v>
      </c>
    </row>
    <row r="97" customFormat="false" ht="15" hidden="false" customHeight="false" outlineLevel="0" collapsed="false">
      <c r="A97" s="4" t="n">
        <v>96</v>
      </c>
      <c r="B97" s="15" t="n">
        <v>46245</v>
      </c>
      <c r="C97" s="4" t="s">
        <v>29</v>
      </c>
      <c r="D97" s="4" t="s">
        <v>116</v>
      </c>
      <c r="E97" s="17" t="s">
        <v>117</v>
      </c>
      <c r="F97" s="4" t="s">
        <v>121</v>
      </c>
      <c r="G97" s="11" t="n">
        <v>15</v>
      </c>
      <c r="H97" s="4" t="s">
        <v>126</v>
      </c>
      <c r="I97" s="11"/>
      <c r="J97" s="11" t="str">
        <f aca="false">IF(AND(ISNUMBER(G97),ISNUMBER(I97)),I97-G97,"")</f>
        <v/>
      </c>
      <c r="K97" s="10" t="n">
        <f aca="false">IF(H97="Done",1,IF(H97="Partial",0.5,IF(H97="Planned","",0)))</f>
        <v>0</v>
      </c>
      <c r="L97" s="17"/>
      <c r="M97" s="17" t="s">
        <v>146</v>
      </c>
      <c r="N97" s="17"/>
    </row>
    <row r="98" customFormat="false" ht="15" hidden="false" customHeight="false" outlineLevel="0" collapsed="false">
      <c r="A98" s="4" t="n">
        <v>97</v>
      </c>
      <c r="B98" s="15" t="n">
        <v>46245</v>
      </c>
      <c r="C98" s="4" t="s">
        <v>31</v>
      </c>
      <c r="D98" s="4" t="s">
        <v>159</v>
      </c>
      <c r="E98" s="17" t="s">
        <v>160</v>
      </c>
      <c r="F98" s="4" t="s">
        <v>121</v>
      </c>
      <c r="G98" s="11" t="n">
        <v>60</v>
      </c>
      <c r="H98" s="4" t="s">
        <v>154</v>
      </c>
      <c r="I98" s="11"/>
      <c r="J98" s="11" t="str">
        <f aca="false">IF(AND(ISNUMBER(G98),ISNUMBER(I98)),I98-G98,"")</f>
        <v/>
      </c>
      <c r="K98" s="10" t="n">
        <f aca="false">IF(H98="Done",1,IF(H98="Partial",0.5,IF(H98="Planned","",0)))</f>
        <v>0</v>
      </c>
      <c r="L98" s="17"/>
      <c r="M98" s="17" t="s">
        <v>163</v>
      </c>
      <c r="N98" s="17"/>
    </row>
    <row r="99" customFormat="false" ht="23.85" hidden="false" customHeight="false" outlineLevel="0" collapsed="false">
      <c r="A99" s="4" t="n">
        <v>98</v>
      </c>
      <c r="B99" s="15" t="n">
        <v>46245</v>
      </c>
      <c r="C99" s="4" t="s">
        <v>31</v>
      </c>
      <c r="D99" s="4" t="s">
        <v>119</v>
      </c>
      <c r="E99" s="17" t="s">
        <v>120</v>
      </c>
      <c r="F99" s="4" t="s">
        <v>130</v>
      </c>
      <c r="G99" s="11" t="n">
        <v>60</v>
      </c>
      <c r="H99" s="4" t="s">
        <v>139</v>
      </c>
      <c r="I99" s="11" t="n">
        <v>54</v>
      </c>
      <c r="J99" s="11" t="n">
        <f aca="false">IF(AND(ISNUMBER(G99),ISNUMBER(I99)),I99-G99,"")</f>
        <v>-6</v>
      </c>
      <c r="K99" s="10" t="n">
        <f aca="false">IF(H99="Done",1,IF(H99="Partial",0.5,IF(H99="Planned","",0)))</f>
        <v>0.5</v>
      </c>
      <c r="L99" s="17"/>
      <c r="M99" s="17"/>
      <c r="N99" s="17" t="s">
        <v>123</v>
      </c>
    </row>
    <row r="100" customFormat="false" ht="23.85" hidden="false" customHeight="false" outlineLevel="0" collapsed="false">
      <c r="A100" s="4" t="n">
        <v>99</v>
      </c>
      <c r="B100" s="15" t="n">
        <v>46245</v>
      </c>
      <c r="C100" s="4" t="s">
        <v>31</v>
      </c>
      <c r="D100" s="4" t="s">
        <v>136</v>
      </c>
      <c r="E100" s="17" t="s">
        <v>137</v>
      </c>
      <c r="F100" s="4" t="s">
        <v>118</v>
      </c>
      <c r="G100" s="11" t="n">
        <v>120</v>
      </c>
      <c r="H100" s="4" t="s">
        <v>150</v>
      </c>
      <c r="I100" s="11"/>
      <c r="J100" s="11" t="str">
        <f aca="false">IF(AND(ISNUMBER(G100),ISNUMBER(I100)),I100-G100,"")</f>
        <v/>
      </c>
      <c r="K100" s="10" t="n">
        <f aca="false">IF(H100="Done",1,IF(H100="Partial",0.5,IF(H100="Planned","",0)))</f>
        <v>0</v>
      </c>
      <c r="L100" s="17"/>
      <c r="M100" s="17" t="s">
        <v>155</v>
      </c>
      <c r="N100" s="17" t="s">
        <v>123</v>
      </c>
    </row>
    <row r="101" customFormat="false" ht="15" hidden="false" customHeight="false" outlineLevel="0" collapsed="false">
      <c r="A101" s="4" t="n">
        <v>100</v>
      </c>
      <c r="B101" s="15" t="n">
        <v>46245</v>
      </c>
      <c r="C101" s="4" t="s">
        <v>31</v>
      </c>
      <c r="D101" s="4" t="s">
        <v>134</v>
      </c>
      <c r="E101" s="17" t="s">
        <v>135</v>
      </c>
      <c r="F101" s="4" t="s">
        <v>130</v>
      </c>
      <c r="G101" s="11" t="n">
        <v>45</v>
      </c>
      <c r="H101" s="4" t="s">
        <v>126</v>
      </c>
      <c r="I101" s="11"/>
      <c r="J101" s="11" t="str">
        <f aca="false">IF(AND(ISNUMBER(G101),ISNUMBER(I101)),I101-G101,"")</f>
        <v/>
      </c>
      <c r="K101" s="10" t="n">
        <f aca="false">IF(H101="Done",1,IF(H101="Partial",0.5,IF(H101="Planned","",0)))</f>
        <v>0</v>
      </c>
      <c r="L101" s="17"/>
      <c r="M101" s="17" t="s">
        <v>147</v>
      </c>
      <c r="N101" s="17"/>
    </row>
    <row r="102" customFormat="false" ht="15" hidden="false" customHeight="false" outlineLevel="0" collapsed="false">
      <c r="A102" s="4" t="n">
        <v>101</v>
      </c>
      <c r="B102" s="15" t="n">
        <v>46245</v>
      </c>
      <c r="C102" s="4" t="s">
        <v>32</v>
      </c>
      <c r="D102" s="4" t="s">
        <v>144</v>
      </c>
      <c r="E102" s="17" t="s">
        <v>145</v>
      </c>
      <c r="F102" s="4" t="s">
        <v>130</v>
      </c>
      <c r="G102" s="11" t="n">
        <v>60</v>
      </c>
      <c r="H102" s="4" t="s">
        <v>55</v>
      </c>
      <c r="I102" s="11" t="n">
        <v>67</v>
      </c>
      <c r="J102" s="11" t="n">
        <f aca="false">IF(AND(ISNUMBER(G102),ISNUMBER(I102)),I102-G102,"")</f>
        <v>7</v>
      </c>
      <c r="K102" s="10" t="n">
        <f aca="false">IF(H102="Done",1,IF(H102="Partial",0.5,IF(H102="Planned","",0)))</f>
        <v>1</v>
      </c>
      <c r="L102" s="17"/>
      <c r="M102" s="17"/>
      <c r="N102" s="17"/>
    </row>
    <row r="103" customFormat="false" ht="23.85" hidden="false" customHeight="false" outlineLevel="0" collapsed="false">
      <c r="A103" s="4" t="n">
        <v>102</v>
      </c>
      <c r="B103" s="15" t="n">
        <v>46246</v>
      </c>
      <c r="C103" s="4" t="s">
        <v>31</v>
      </c>
      <c r="D103" s="4" t="s">
        <v>119</v>
      </c>
      <c r="E103" s="17" t="s">
        <v>120</v>
      </c>
      <c r="F103" s="4" t="s">
        <v>121</v>
      </c>
      <c r="G103" s="11" t="n">
        <v>60</v>
      </c>
      <c r="H103" s="4" t="s">
        <v>154</v>
      </c>
      <c r="I103" s="11"/>
      <c r="J103" s="11" t="str">
        <f aca="false">IF(AND(ISNUMBER(G103),ISNUMBER(I103)),I103-G103,"")</f>
        <v/>
      </c>
      <c r="K103" s="10" t="n">
        <f aca="false">IF(H103="Done",1,IF(H103="Partial",0.5,IF(H103="Planned","",0)))</f>
        <v>0</v>
      </c>
      <c r="L103" s="17"/>
      <c r="M103" s="17" t="s">
        <v>163</v>
      </c>
      <c r="N103" s="17" t="s">
        <v>123</v>
      </c>
    </row>
    <row r="104" customFormat="false" ht="15" hidden="false" customHeight="false" outlineLevel="0" collapsed="false">
      <c r="A104" s="4" t="n">
        <v>103</v>
      </c>
      <c r="B104" s="15" t="n">
        <v>46246</v>
      </c>
      <c r="C104" s="4" t="s">
        <v>32</v>
      </c>
      <c r="D104" s="4" t="s">
        <v>140</v>
      </c>
      <c r="E104" s="17" t="s">
        <v>141</v>
      </c>
      <c r="F104" s="4" t="s">
        <v>130</v>
      </c>
      <c r="G104" s="11" t="n">
        <v>45</v>
      </c>
      <c r="H104" s="4" t="s">
        <v>150</v>
      </c>
      <c r="I104" s="11"/>
      <c r="J104" s="11" t="str">
        <f aca="false">IF(AND(ISNUMBER(G104),ISNUMBER(I104)),I104-G104,"")</f>
        <v/>
      </c>
      <c r="K104" s="10" t="n">
        <f aca="false">IF(H104="Done",1,IF(H104="Partial",0.5,IF(H104="Planned","",0)))</f>
        <v>0</v>
      </c>
      <c r="L104" s="17"/>
      <c r="M104" s="17" t="s">
        <v>153</v>
      </c>
      <c r="N104" s="17" t="s">
        <v>143</v>
      </c>
    </row>
    <row r="105" customFormat="false" ht="15" hidden="false" customHeight="false" outlineLevel="0" collapsed="false">
      <c r="A105" s="4" t="n">
        <v>104</v>
      </c>
      <c r="B105" s="15" t="n">
        <v>46246</v>
      </c>
      <c r="C105" s="4" t="s">
        <v>35</v>
      </c>
      <c r="D105" s="4" t="s">
        <v>148</v>
      </c>
      <c r="E105" s="17" t="s">
        <v>149</v>
      </c>
      <c r="F105" s="4" t="s">
        <v>130</v>
      </c>
      <c r="G105" s="11" t="n">
        <v>30</v>
      </c>
      <c r="H105" s="4" t="s">
        <v>126</v>
      </c>
      <c r="I105" s="11"/>
      <c r="J105" s="11" t="str">
        <f aca="false">IF(AND(ISNUMBER(G105),ISNUMBER(I105)),I105-G105,"")</f>
        <v/>
      </c>
      <c r="K105" s="10" t="n">
        <f aca="false">IF(H105="Done",1,IF(H105="Partial",0.5,IF(H105="Planned","",0)))</f>
        <v>0</v>
      </c>
      <c r="L105" s="17"/>
      <c r="M105" s="17" t="s">
        <v>155</v>
      </c>
      <c r="N105" s="17"/>
    </row>
    <row r="106" customFormat="false" ht="23.85" hidden="false" customHeight="false" outlineLevel="0" collapsed="false">
      <c r="A106" s="4" t="n">
        <v>105</v>
      </c>
      <c r="B106" s="15" t="n">
        <v>46246</v>
      </c>
      <c r="C106" s="4" t="s">
        <v>31</v>
      </c>
      <c r="D106" s="4" t="s">
        <v>136</v>
      </c>
      <c r="E106" s="17" t="s">
        <v>137</v>
      </c>
      <c r="F106" s="4" t="s">
        <v>121</v>
      </c>
      <c r="G106" s="11" t="n">
        <v>120</v>
      </c>
      <c r="H106" s="4" t="s">
        <v>154</v>
      </c>
      <c r="I106" s="11"/>
      <c r="J106" s="11" t="str">
        <f aca="false">IF(AND(ISNUMBER(G106),ISNUMBER(I106)),I106-G106,"")</f>
        <v/>
      </c>
      <c r="K106" s="10" t="n">
        <f aca="false">IF(H106="Done",1,IF(H106="Partial",0.5,IF(H106="Planned","",0)))</f>
        <v>0</v>
      </c>
      <c r="L106" s="17"/>
      <c r="M106" s="17" t="s">
        <v>153</v>
      </c>
      <c r="N106" s="17" t="s">
        <v>123</v>
      </c>
    </row>
    <row r="107" customFormat="false" ht="15" hidden="false" customHeight="false" outlineLevel="0" collapsed="false">
      <c r="A107" s="4" t="n">
        <v>106</v>
      </c>
      <c r="B107" s="15" t="n">
        <v>46246</v>
      </c>
      <c r="C107" s="4" t="s">
        <v>30</v>
      </c>
      <c r="D107" s="4" t="s">
        <v>156</v>
      </c>
      <c r="E107" s="17" t="s">
        <v>157</v>
      </c>
      <c r="F107" s="4" t="s">
        <v>121</v>
      </c>
      <c r="G107" s="11" t="n">
        <v>30</v>
      </c>
      <c r="H107" s="4" t="s">
        <v>55</v>
      </c>
      <c r="I107" s="11" t="n">
        <v>30</v>
      </c>
      <c r="J107" s="11" t="n">
        <f aca="false">IF(AND(ISNUMBER(G107),ISNUMBER(I107)),I107-G107,"")</f>
        <v>0</v>
      </c>
      <c r="K107" s="10" t="n">
        <f aca="false">IF(H107="Done",1,IF(H107="Partial",0.5,IF(H107="Planned","",0)))</f>
        <v>1</v>
      </c>
      <c r="L107" s="17"/>
      <c r="M107" s="17"/>
      <c r="N107" s="17" t="s">
        <v>158</v>
      </c>
    </row>
    <row r="108" customFormat="false" ht="15" hidden="false" customHeight="false" outlineLevel="0" collapsed="false">
      <c r="A108" s="4" t="n">
        <v>107</v>
      </c>
      <c r="B108" s="15" t="n">
        <v>46246</v>
      </c>
      <c r="C108" s="4" t="s">
        <v>32</v>
      </c>
      <c r="D108" s="4" t="s">
        <v>144</v>
      </c>
      <c r="E108" s="17" t="s">
        <v>145</v>
      </c>
      <c r="F108" s="4" t="s">
        <v>130</v>
      </c>
      <c r="G108" s="11" t="n">
        <v>60</v>
      </c>
      <c r="H108" s="4" t="s">
        <v>154</v>
      </c>
      <c r="I108" s="11"/>
      <c r="J108" s="11" t="str">
        <f aca="false">IF(AND(ISNUMBER(G108),ISNUMBER(I108)),I108-G108,"")</f>
        <v/>
      </c>
      <c r="K108" s="10" t="n">
        <f aca="false">IF(H108="Done",1,IF(H108="Partial",0.5,IF(H108="Planned","",0)))</f>
        <v>0</v>
      </c>
      <c r="L108" s="17"/>
      <c r="M108" s="17" t="s">
        <v>153</v>
      </c>
      <c r="N108" s="17"/>
    </row>
    <row r="109" customFormat="false" ht="15" hidden="false" customHeight="false" outlineLevel="0" collapsed="false">
      <c r="A109" s="4" t="n">
        <v>108</v>
      </c>
      <c r="B109" s="15" t="n">
        <v>46246</v>
      </c>
      <c r="C109" s="4" t="s">
        <v>31</v>
      </c>
      <c r="D109" s="4" t="s">
        <v>134</v>
      </c>
      <c r="E109" s="17" t="s">
        <v>135</v>
      </c>
      <c r="F109" s="4" t="s">
        <v>130</v>
      </c>
      <c r="G109" s="11" t="n">
        <v>45</v>
      </c>
      <c r="H109" s="4" t="s">
        <v>154</v>
      </c>
      <c r="I109" s="11"/>
      <c r="J109" s="11" t="str">
        <f aca="false">IF(AND(ISNUMBER(G109),ISNUMBER(I109)),I109-G109,"")</f>
        <v/>
      </c>
      <c r="K109" s="10" t="n">
        <f aca="false">IF(H109="Done",1,IF(H109="Partial",0.5,IF(H109="Planned","",0)))</f>
        <v>0</v>
      </c>
      <c r="L109" s="17"/>
      <c r="M109" s="17" t="s">
        <v>147</v>
      </c>
      <c r="N109" s="17"/>
    </row>
    <row r="110" customFormat="false" ht="15" hidden="false" customHeight="false" outlineLevel="0" collapsed="false">
      <c r="A110" s="4" t="n">
        <v>109</v>
      </c>
      <c r="B110" s="15" t="n">
        <v>46247</v>
      </c>
      <c r="C110" s="4" t="s">
        <v>31</v>
      </c>
      <c r="D110" s="4" t="s">
        <v>134</v>
      </c>
      <c r="E110" s="17" t="s">
        <v>135</v>
      </c>
      <c r="F110" s="4" t="s">
        <v>130</v>
      </c>
      <c r="G110" s="11" t="n">
        <v>45</v>
      </c>
      <c r="H110" s="4" t="s">
        <v>55</v>
      </c>
      <c r="I110" s="11" t="n">
        <v>58</v>
      </c>
      <c r="J110" s="11" t="n">
        <f aca="false">IF(AND(ISNUMBER(G110),ISNUMBER(I110)),I110-G110,"")</f>
        <v>13</v>
      </c>
      <c r="K110" s="10" t="n">
        <f aca="false">IF(H110="Done",1,IF(H110="Partial",0.5,IF(H110="Planned","",0)))</f>
        <v>1</v>
      </c>
      <c r="L110" s="17"/>
      <c r="M110" s="17"/>
      <c r="N110" s="17"/>
    </row>
    <row r="111" customFormat="false" ht="15" hidden="false" customHeight="false" outlineLevel="0" collapsed="false">
      <c r="A111" s="4" t="n">
        <v>110</v>
      </c>
      <c r="B111" s="15" t="n">
        <v>46247</v>
      </c>
      <c r="C111" s="4" t="s">
        <v>32</v>
      </c>
      <c r="D111" s="4" t="s">
        <v>144</v>
      </c>
      <c r="E111" s="17" t="s">
        <v>145</v>
      </c>
      <c r="F111" s="4" t="s">
        <v>130</v>
      </c>
      <c r="G111" s="11" t="n">
        <v>60</v>
      </c>
      <c r="H111" s="4" t="s">
        <v>55</v>
      </c>
      <c r="I111" s="11" t="n">
        <v>89</v>
      </c>
      <c r="J111" s="11" t="n">
        <f aca="false">IF(AND(ISNUMBER(G111),ISNUMBER(I111)),I111-G111,"")</f>
        <v>29</v>
      </c>
      <c r="K111" s="10" t="n">
        <f aca="false">IF(H111="Done",1,IF(H111="Partial",0.5,IF(H111="Planned","",0)))</f>
        <v>1</v>
      </c>
      <c r="L111" s="17"/>
      <c r="M111" s="17"/>
      <c r="N111" s="17"/>
    </row>
    <row r="112" customFormat="false" ht="15" hidden="false" customHeight="false" outlineLevel="0" collapsed="false">
      <c r="A112" s="4" t="n">
        <v>111</v>
      </c>
      <c r="B112" s="15" t="n">
        <v>46247</v>
      </c>
      <c r="C112" s="4" t="s">
        <v>30</v>
      </c>
      <c r="D112" s="4" t="s">
        <v>156</v>
      </c>
      <c r="E112" s="17" t="s">
        <v>157</v>
      </c>
      <c r="F112" s="4" t="s">
        <v>130</v>
      </c>
      <c r="G112" s="11" t="n">
        <v>30</v>
      </c>
      <c r="H112" s="4" t="s">
        <v>55</v>
      </c>
      <c r="I112" s="11" t="n">
        <v>25</v>
      </c>
      <c r="J112" s="11" t="n">
        <f aca="false">IF(AND(ISNUMBER(G112),ISNUMBER(I112)),I112-G112,"")</f>
        <v>-5</v>
      </c>
      <c r="K112" s="10" t="n">
        <f aca="false">IF(H112="Done",1,IF(H112="Partial",0.5,IF(H112="Planned","",0)))</f>
        <v>1</v>
      </c>
      <c r="L112" s="17"/>
      <c r="M112" s="17"/>
      <c r="N112" s="17" t="s">
        <v>158</v>
      </c>
    </row>
    <row r="113" customFormat="false" ht="15" hidden="false" customHeight="false" outlineLevel="0" collapsed="false">
      <c r="A113" s="4" t="n">
        <v>112</v>
      </c>
      <c r="B113" s="15" t="n">
        <v>46247</v>
      </c>
      <c r="C113" s="4" t="s">
        <v>33</v>
      </c>
      <c r="D113" s="4" t="s">
        <v>151</v>
      </c>
      <c r="E113" s="17" t="s">
        <v>152</v>
      </c>
      <c r="F113" s="4" t="s">
        <v>118</v>
      </c>
      <c r="G113" s="11" t="n">
        <v>30</v>
      </c>
      <c r="H113" s="4" t="s">
        <v>55</v>
      </c>
      <c r="I113" s="11" t="n">
        <v>30</v>
      </c>
      <c r="J113" s="11" t="n">
        <f aca="false">IF(AND(ISNUMBER(G113),ISNUMBER(I113)),I113-G113,"")</f>
        <v>0</v>
      </c>
      <c r="K113" s="10" t="n">
        <f aca="false">IF(H113="Done",1,IF(H113="Partial",0.5,IF(H113="Planned","",0)))</f>
        <v>1</v>
      </c>
      <c r="L113" s="17"/>
      <c r="M113" s="17"/>
      <c r="N113" s="17"/>
    </row>
    <row r="114" customFormat="false" ht="15" hidden="false" customHeight="false" outlineLevel="0" collapsed="false">
      <c r="A114" s="4" t="n">
        <v>113</v>
      </c>
      <c r="B114" s="15" t="n">
        <v>46247</v>
      </c>
      <c r="C114" s="4" t="s">
        <v>29</v>
      </c>
      <c r="D114" s="4" t="s">
        <v>116</v>
      </c>
      <c r="E114" s="17" t="s">
        <v>117</v>
      </c>
      <c r="F114" s="4" t="s">
        <v>130</v>
      </c>
      <c r="G114" s="11" t="n">
        <v>15</v>
      </c>
      <c r="H114" s="4" t="s">
        <v>126</v>
      </c>
      <c r="I114" s="11"/>
      <c r="J114" s="11" t="str">
        <f aca="false">IF(AND(ISNUMBER(G114),ISNUMBER(I114)),I114-G114,"")</f>
        <v/>
      </c>
      <c r="K114" s="10" t="n">
        <f aca="false">IF(H114="Done",1,IF(H114="Partial",0.5,IF(H114="Planned","",0)))</f>
        <v>0</v>
      </c>
      <c r="L114" s="17"/>
      <c r="M114" s="17" t="s">
        <v>142</v>
      </c>
      <c r="N114" s="17"/>
    </row>
    <row r="115" customFormat="false" ht="15" hidden="false" customHeight="false" outlineLevel="0" collapsed="false">
      <c r="A115" s="4" t="n">
        <v>114</v>
      </c>
      <c r="B115" s="15" t="n">
        <v>46247</v>
      </c>
      <c r="C115" s="4" t="s">
        <v>31</v>
      </c>
      <c r="D115" s="4" t="s">
        <v>159</v>
      </c>
      <c r="E115" s="17" t="s">
        <v>160</v>
      </c>
      <c r="F115" s="4" t="s">
        <v>130</v>
      </c>
      <c r="G115" s="11" t="n">
        <v>60</v>
      </c>
      <c r="H115" s="4" t="s">
        <v>126</v>
      </c>
      <c r="I115" s="11"/>
      <c r="J115" s="11" t="str">
        <f aca="false">IF(AND(ISNUMBER(G115),ISNUMBER(I115)),I115-G115,"")</f>
        <v/>
      </c>
      <c r="K115" s="10" t="n">
        <f aca="false">IF(H115="Done",1,IF(H115="Partial",0.5,IF(H115="Planned","",0)))</f>
        <v>0</v>
      </c>
      <c r="L115" s="17"/>
      <c r="M115" s="17" t="s">
        <v>142</v>
      </c>
      <c r="N115" s="17"/>
    </row>
    <row r="116" customFormat="false" ht="23.85" hidden="false" customHeight="false" outlineLevel="0" collapsed="false">
      <c r="A116" s="4" t="n">
        <v>115</v>
      </c>
      <c r="B116" s="15" t="n">
        <v>46247</v>
      </c>
      <c r="C116" s="4" t="s">
        <v>31</v>
      </c>
      <c r="D116" s="4" t="s">
        <v>119</v>
      </c>
      <c r="E116" s="17" t="s">
        <v>120</v>
      </c>
      <c r="F116" s="4" t="s">
        <v>130</v>
      </c>
      <c r="G116" s="11" t="n">
        <v>60</v>
      </c>
      <c r="H116" s="4" t="s">
        <v>154</v>
      </c>
      <c r="I116" s="11"/>
      <c r="J116" s="11" t="str">
        <f aca="false">IF(AND(ISNUMBER(G116),ISNUMBER(I116)),I116-G116,"")</f>
        <v/>
      </c>
      <c r="K116" s="10" t="n">
        <f aca="false">IF(H116="Done",1,IF(H116="Partial",0.5,IF(H116="Planned","",0)))</f>
        <v>0</v>
      </c>
      <c r="L116" s="17"/>
      <c r="M116" s="17" t="s">
        <v>155</v>
      </c>
      <c r="N116" s="17" t="s">
        <v>123</v>
      </c>
    </row>
    <row r="117" customFormat="false" ht="15" hidden="false" customHeight="false" outlineLevel="0" collapsed="false">
      <c r="A117" s="4" t="n">
        <v>116</v>
      </c>
      <c r="B117" s="15" t="n">
        <v>46248</v>
      </c>
      <c r="C117" s="4" t="s">
        <v>31</v>
      </c>
      <c r="D117" s="4" t="s">
        <v>159</v>
      </c>
      <c r="E117" s="17" t="s">
        <v>160</v>
      </c>
      <c r="F117" s="4" t="s">
        <v>118</v>
      </c>
      <c r="G117" s="11" t="n">
        <v>60</v>
      </c>
      <c r="H117" s="4" t="s">
        <v>154</v>
      </c>
      <c r="I117" s="11"/>
      <c r="J117" s="11" t="str">
        <f aca="false">IF(AND(ISNUMBER(G117),ISNUMBER(I117)),I117-G117,"")</f>
        <v/>
      </c>
      <c r="K117" s="10" t="n">
        <f aca="false">IF(H117="Done",1,IF(H117="Partial",0.5,IF(H117="Planned","",0)))</f>
        <v>0</v>
      </c>
      <c r="L117" s="17"/>
      <c r="M117" s="17" t="s">
        <v>127</v>
      </c>
      <c r="N117" s="17"/>
    </row>
    <row r="118" customFormat="false" ht="15" hidden="false" customHeight="false" outlineLevel="0" collapsed="false">
      <c r="A118" s="4" t="n">
        <v>117</v>
      </c>
      <c r="B118" s="15" t="n">
        <v>46248</v>
      </c>
      <c r="C118" s="4" t="s">
        <v>32</v>
      </c>
      <c r="D118" s="4" t="s">
        <v>140</v>
      </c>
      <c r="E118" s="17" t="s">
        <v>141</v>
      </c>
      <c r="F118" s="4" t="s">
        <v>118</v>
      </c>
      <c r="G118" s="11" t="n">
        <v>45</v>
      </c>
      <c r="H118" s="4" t="s">
        <v>55</v>
      </c>
      <c r="I118" s="11" t="n">
        <v>66</v>
      </c>
      <c r="J118" s="11" t="n">
        <f aca="false">IF(AND(ISNUMBER(G118),ISNUMBER(I118)),I118-G118,"")</f>
        <v>21</v>
      </c>
      <c r="K118" s="10" t="n">
        <f aca="false">IF(H118="Done",1,IF(H118="Partial",0.5,IF(H118="Planned","",0)))</f>
        <v>1</v>
      </c>
      <c r="L118" s="17"/>
      <c r="M118" s="17"/>
      <c r="N118" s="17" t="s">
        <v>143</v>
      </c>
    </row>
    <row r="119" customFormat="false" ht="15" hidden="false" customHeight="false" outlineLevel="0" collapsed="false">
      <c r="A119" s="4" t="n">
        <v>118</v>
      </c>
      <c r="B119" s="15" t="n">
        <v>46248</v>
      </c>
      <c r="C119" s="4" t="s">
        <v>30</v>
      </c>
      <c r="D119" s="4" t="s">
        <v>128</v>
      </c>
      <c r="E119" s="17" t="s">
        <v>129</v>
      </c>
      <c r="F119" s="4" t="s">
        <v>121</v>
      </c>
      <c r="G119" s="11" t="n">
        <v>40</v>
      </c>
      <c r="H119" s="4" t="s">
        <v>150</v>
      </c>
      <c r="I119" s="11"/>
      <c r="J119" s="11" t="str">
        <f aca="false">IF(AND(ISNUMBER(G119),ISNUMBER(I119)),I119-G119,"")</f>
        <v/>
      </c>
      <c r="K119" s="10" t="n">
        <f aca="false">IF(H119="Done",1,IF(H119="Partial",0.5,IF(H119="Planned","",0)))</f>
        <v>0</v>
      </c>
      <c r="L119" s="17"/>
      <c r="M119" s="17" t="s">
        <v>153</v>
      </c>
      <c r="N119" s="17"/>
    </row>
    <row r="120" customFormat="false" ht="15" hidden="false" customHeight="false" outlineLevel="0" collapsed="false">
      <c r="A120" s="4" t="n">
        <v>119</v>
      </c>
      <c r="B120" s="15" t="n">
        <v>46249</v>
      </c>
      <c r="C120" s="4" t="s">
        <v>35</v>
      </c>
      <c r="D120" s="4" t="s">
        <v>148</v>
      </c>
      <c r="E120" s="17" t="s">
        <v>149</v>
      </c>
      <c r="F120" s="4" t="s">
        <v>121</v>
      </c>
      <c r="G120" s="11" t="n">
        <v>30</v>
      </c>
      <c r="H120" s="4" t="s">
        <v>126</v>
      </c>
      <c r="I120" s="11"/>
      <c r="J120" s="11" t="str">
        <f aca="false">IF(AND(ISNUMBER(G120),ISNUMBER(I120)),I120-G120,"")</f>
        <v/>
      </c>
      <c r="K120" s="10" t="n">
        <f aca="false">IF(H120="Done",1,IF(H120="Partial",0.5,IF(H120="Planned","",0)))</f>
        <v>0</v>
      </c>
      <c r="L120" s="17"/>
      <c r="M120" s="17" t="s">
        <v>142</v>
      </c>
      <c r="N120" s="17"/>
    </row>
    <row r="121" customFormat="false" ht="15" hidden="false" customHeight="false" outlineLevel="0" collapsed="false">
      <c r="A121" s="4" t="n">
        <v>120</v>
      </c>
      <c r="B121" s="15" t="n">
        <v>46249</v>
      </c>
      <c r="C121" s="4" t="s">
        <v>30</v>
      </c>
      <c r="D121" s="4" t="s">
        <v>128</v>
      </c>
      <c r="E121" s="17" t="s">
        <v>129</v>
      </c>
      <c r="F121" s="4" t="s">
        <v>121</v>
      </c>
      <c r="G121" s="11" t="n">
        <v>40</v>
      </c>
      <c r="H121" s="4" t="s">
        <v>139</v>
      </c>
      <c r="I121" s="11" t="n">
        <v>24</v>
      </c>
      <c r="J121" s="11" t="n">
        <f aca="false">IF(AND(ISNUMBER(G121),ISNUMBER(I121)),I121-G121,"")</f>
        <v>-16</v>
      </c>
      <c r="K121" s="10" t="n">
        <f aca="false">IF(H121="Done",1,IF(H121="Partial",0.5,IF(H121="Planned","",0)))</f>
        <v>0.5</v>
      </c>
      <c r="L121" s="17"/>
      <c r="M121" s="17"/>
      <c r="N121" s="17"/>
    </row>
    <row r="122" customFormat="false" ht="15" hidden="false" customHeight="false" outlineLevel="0" collapsed="false">
      <c r="A122" s="4" t="n">
        <v>121</v>
      </c>
      <c r="B122" s="15" t="n">
        <v>46249</v>
      </c>
      <c r="C122" s="4" t="s">
        <v>31</v>
      </c>
      <c r="D122" s="4" t="s">
        <v>134</v>
      </c>
      <c r="E122" s="17" t="s">
        <v>135</v>
      </c>
      <c r="F122" s="4" t="s">
        <v>118</v>
      </c>
      <c r="G122" s="11" t="n">
        <v>45</v>
      </c>
      <c r="H122" s="4" t="s">
        <v>55</v>
      </c>
      <c r="I122" s="11" t="n">
        <v>80</v>
      </c>
      <c r="J122" s="11" t="n">
        <f aca="false">IF(AND(ISNUMBER(G122),ISNUMBER(I122)),I122-G122,"")</f>
        <v>35</v>
      </c>
      <c r="K122" s="10" t="n">
        <f aca="false">IF(H122="Done",1,IF(H122="Partial",0.5,IF(H122="Planned","",0)))</f>
        <v>1</v>
      </c>
      <c r="L122" s="17"/>
      <c r="M122" s="17"/>
      <c r="N122" s="17"/>
    </row>
    <row r="123" customFormat="false" ht="15" hidden="false" customHeight="false" outlineLevel="0" collapsed="false">
      <c r="A123" s="4" t="n">
        <v>122</v>
      </c>
      <c r="B123" s="15" t="n">
        <v>46249</v>
      </c>
      <c r="C123" s="4" t="s">
        <v>31</v>
      </c>
      <c r="D123" s="4" t="s">
        <v>159</v>
      </c>
      <c r="E123" s="17" t="s">
        <v>160</v>
      </c>
      <c r="F123" s="4" t="s">
        <v>130</v>
      </c>
      <c r="G123" s="11" t="n">
        <v>60</v>
      </c>
      <c r="H123" s="4" t="s">
        <v>150</v>
      </c>
      <c r="I123" s="11"/>
      <c r="J123" s="11" t="str">
        <f aca="false">IF(AND(ISNUMBER(G123),ISNUMBER(I123)),I123-G123,"")</f>
        <v/>
      </c>
      <c r="K123" s="10" t="n">
        <f aca="false">IF(H123="Done",1,IF(H123="Partial",0.5,IF(H123="Planned","",0)))</f>
        <v>0</v>
      </c>
      <c r="L123" s="17"/>
      <c r="M123" s="17" t="s">
        <v>142</v>
      </c>
      <c r="N123" s="17"/>
    </row>
    <row r="124" customFormat="false" ht="15" hidden="false" customHeight="false" outlineLevel="0" collapsed="false">
      <c r="A124" s="4" t="n">
        <v>123</v>
      </c>
      <c r="B124" s="15" t="n">
        <v>46249</v>
      </c>
      <c r="C124" s="4" t="s">
        <v>33</v>
      </c>
      <c r="D124" s="4" t="s">
        <v>151</v>
      </c>
      <c r="E124" s="17" t="s">
        <v>152</v>
      </c>
      <c r="F124" s="4" t="s">
        <v>121</v>
      </c>
      <c r="G124" s="11" t="n">
        <v>30</v>
      </c>
      <c r="H124" s="4" t="s">
        <v>126</v>
      </c>
      <c r="I124" s="11"/>
      <c r="J124" s="11" t="str">
        <f aca="false">IF(AND(ISNUMBER(G124),ISNUMBER(I124)),I124-G124,"")</f>
        <v/>
      </c>
      <c r="K124" s="10" t="n">
        <f aca="false">IF(H124="Done",1,IF(H124="Partial",0.5,IF(H124="Planned","",0)))</f>
        <v>0</v>
      </c>
      <c r="L124" s="17"/>
      <c r="M124" s="17" t="s">
        <v>142</v>
      </c>
      <c r="N124" s="17"/>
    </row>
    <row r="125" customFormat="false" ht="15" hidden="false" customHeight="false" outlineLevel="0" collapsed="false">
      <c r="A125" s="4" t="n">
        <v>124</v>
      </c>
      <c r="B125" s="15" t="n">
        <v>46249</v>
      </c>
      <c r="C125" s="4" t="s">
        <v>34</v>
      </c>
      <c r="D125" s="4" t="s">
        <v>124</v>
      </c>
      <c r="E125" s="17" t="s">
        <v>125</v>
      </c>
      <c r="F125" s="4" t="s">
        <v>130</v>
      </c>
      <c r="G125" s="11" t="n">
        <v>20</v>
      </c>
      <c r="H125" s="4" t="s">
        <v>55</v>
      </c>
      <c r="I125" s="11" t="n">
        <v>24</v>
      </c>
      <c r="J125" s="11" t="n">
        <f aca="false">IF(AND(ISNUMBER(G125),ISNUMBER(I125)),I125-G125,"")</f>
        <v>4</v>
      </c>
      <c r="K125" s="10" t="n">
        <f aca="false">IF(H125="Done",1,IF(H125="Partial",0.5,IF(H125="Planned","",0)))</f>
        <v>1</v>
      </c>
      <c r="L125" s="17"/>
      <c r="M125" s="17"/>
      <c r="N125" s="17"/>
    </row>
    <row r="126" customFormat="false" ht="15" hidden="false" customHeight="false" outlineLevel="0" collapsed="false">
      <c r="A126" s="4" t="n">
        <v>125</v>
      </c>
      <c r="B126" s="15" t="n">
        <v>46249</v>
      </c>
      <c r="C126" s="4" t="s">
        <v>30</v>
      </c>
      <c r="D126" s="4" t="s">
        <v>156</v>
      </c>
      <c r="E126" s="17" t="s">
        <v>157</v>
      </c>
      <c r="F126" s="4" t="s">
        <v>130</v>
      </c>
      <c r="G126" s="11" t="n">
        <v>30</v>
      </c>
      <c r="H126" s="4" t="s">
        <v>154</v>
      </c>
      <c r="I126" s="11"/>
      <c r="J126" s="11" t="str">
        <f aca="false">IF(AND(ISNUMBER(G126),ISNUMBER(I126)),I126-G126,"")</f>
        <v/>
      </c>
      <c r="K126" s="10" t="n">
        <f aca="false">IF(H126="Done",1,IF(H126="Partial",0.5,IF(H126="Planned","",0)))</f>
        <v>0</v>
      </c>
      <c r="L126" s="17"/>
      <c r="M126" s="17" t="s">
        <v>155</v>
      </c>
      <c r="N126" s="17" t="s">
        <v>158</v>
      </c>
    </row>
    <row r="127" customFormat="false" ht="23.85" hidden="false" customHeight="false" outlineLevel="0" collapsed="false">
      <c r="A127" s="4" t="n">
        <v>126</v>
      </c>
      <c r="B127" s="15" t="n">
        <v>46250</v>
      </c>
      <c r="C127" s="4" t="s">
        <v>31</v>
      </c>
      <c r="D127" s="4" t="s">
        <v>119</v>
      </c>
      <c r="E127" s="17" t="s">
        <v>120</v>
      </c>
      <c r="F127" s="4" t="s">
        <v>130</v>
      </c>
      <c r="G127" s="11" t="n">
        <v>60</v>
      </c>
      <c r="H127" s="4" t="s">
        <v>55</v>
      </c>
      <c r="I127" s="11" t="n">
        <v>72</v>
      </c>
      <c r="J127" s="11" t="n">
        <f aca="false">IF(AND(ISNUMBER(G127),ISNUMBER(I127)),I127-G127,"")</f>
        <v>12</v>
      </c>
      <c r="K127" s="10" t="n">
        <f aca="false">IF(H127="Done",1,IF(H127="Partial",0.5,IF(H127="Planned","",0)))</f>
        <v>1</v>
      </c>
      <c r="L127" s="17" t="s">
        <v>164</v>
      </c>
      <c r="M127" s="17"/>
      <c r="N127" s="17" t="s">
        <v>123</v>
      </c>
    </row>
    <row r="128" customFormat="false" ht="15" hidden="false" customHeight="false" outlineLevel="0" collapsed="false">
      <c r="A128" s="4" t="n">
        <v>127</v>
      </c>
      <c r="B128" s="15" t="n">
        <v>46250</v>
      </c>
      <c r="C128" s="4" t="s">
        <v>33</v>
      </c>
      <c r="D128" s="4" t="s">
        <v>151</v>
      </c>
      <c r="E128" s="17" t="s">
        <v>152</v>
      </c>
      <c r="F128" s="4" t="s">
        <v>121</v>
      </c>
      <c r="G128" s="11" t="n">
        <v>30</v>
      </c>
      <c r="H128" s="4" t="s">
        <v>55</v>
      </c>
      <c r="I128" s="11" t="n">
        <v>24</v>
      </c>
      <c r="J128" s="11" t="n">
        <f aca="false">IF(AND(ISNUMBER(G128),ISNUMBER(I128)),I128-G128,"")</f>
        <v>-6</v>
      </c>
      <c r="K128" s="10" t="n">
        <f aca="false">IF(H128="Done",1,IF(H128="Partial",0.5,IF(H128="Planned","",0)))</f>
        <v>1</v>
      </c>
      <c r="L128" s="17"/>
      <c r="M128" s="17"/>
      <c r="N128" s="17"/>
    </row>
    <row r="129" customFormat="false" ht="15" hidden="false" customHeight="false" outlineLevel="0" collapsed="false">
      <c r="A129" s="4" t="n">
        <v>128</v>
      </c>
      <c r="B129" s="15" t="n">
        <v>46250</v>
      </c>
      <c r="C129" s="4" t="s">
        <v>29</v>
      </c>
      <c r="D129" s="4" t="s">
        <v>131</v>
      </c>
      <c r="E129" s="17" t="s">
        <v>132</v>
      </c>
      <c r="F129" s="4" t="s">
        <v>118</v>
      </c>
      <c r="G129" s="11" t="n">
        <v>20</v>
      </c>
      <c r="H129" s="4" t="s">
        <v>55</v>
      </c>
      <c r="I129" s="11" t="n">
        <v>19</v>
      </c>
      <c r="J129" s="11" t="n">
        <f aca="false">IF(AND(ISNUMBER(G129),ISNUMBER(I129)),I129-G129,"")</f>
        <v>-1</v>
      </c>
      <c r="K129" s="10" t="n">
        <f aca="false">IF(H129="Done",1,IF(H129="Partial",0.5,IF(H129="Planned","",0)))</f>
        <v>1</v>
      </c>
      <c r="L129" s="17"/>
      <c r="M129" s="17"/>
      <c r="N129" s="17" t="s">
        <v>133</v>
      </c>
    </row>
    <row r="130" customFormat="false" ht="15" hidden="false" customHeight="false" outlineLevel="0" collapsed="false">
      <c r="A130" s="4" t="n">
        <v>129</v>
      </c>
      <c r="B130" s="15" t="n">
        <v>46250</v>
      </c>
      <c r="C130" s="4" t="s">
        <v>30</v>
      </c>
      <c r="D130" s="4" t="s">
        <v>156</v>
      </c>
      <c r="E130" s="17" t="s">
        <v>157</v>
      </c>
      <c r="F130" s="4" t="s">
        <v>121</v>
      </c>
      <c r="G130" s="11" t="n">
        <v>30</v>
      </c>
      <c r="H130" s="4" t="s">
        <v>55</v>
      </c>
      <c r="I130" s="11" t="n">
        <v>33</v>
      </c>
      <c r="J130" s="11" t="n">
        <f aca="false">IF(AND(ISNUMBER(G130),ISNUMBER(I130)),I130-G130,"")</f>
        <v>3</v>
      </c>
      <c r="K130" s="10" t="n">
        <f aca="false">IF(H130="Done",1,IF(H130="Partial",0.5,IF(H130="Planned","",0)))</f>
        <v>1</v>
      </c>
      <c r="L130" s="17"/>
      <c r="M130" s="17"/>
      <c r="N130" s="17" t="s">
        <v>158</v>
      </c>
    </row>
    <row r="131" customFormat="false" ht="15" hidden="false" customHeight="false" outlineLevel="0" collapsed="false">
      <c r="A131" s="4" t="n">
        <v>130</v>
      </c>
      <c r="B131" s="15" t="n">
        <v>46251</v>
      </c>
      <c r="C131" s="4" t="s">
        <v>30</v>
      </c>
      <c r="D131" s="4" t="s">
        <v>156</v>
      </c>
      <c r="E131" s="17" t="s">
        <v>157</v>
      </c>
      <c r="F131" s="4" t="s">
        <v>130</v>
      </c>
      <c r="G131" s="11" t="n">
        <v>30</v>
      </c>
      <c r="H131" s="4" t="s">
        <v>55</v>
      </c>
      <c r="I131" s="11" t="n">
        <v>40</v>
      </c>
      <c r="J131" s="11" t="n">
        <f aca="false">IF(AND(ISNUMBER(G131),ISNUMBER(I131)),I131-G131,"")</f>
        <v>10</v>
      </c>
      <c r="K131" s="10" t="n">
        <f aca="false">IF(H131="Done",1,IF(H131="Partial",0.5,IF(H131="Planned","",0)))</f>
        <v>1</v>
      </c>
      <c r="L131" s="17"/>
      <c r="M131" s="17"/>
      <c r="N131" s="17" t="s">
        <v>158</v>
      </c>
    </row>
    <row r="132" customFormat="false" ht="15" hidden="false" customHeight="false" outlineLevel="0" collapsed="false">
      <c r="A132" s="4" t="n">
        <v>131</v>
      </c>
      <c r="B132" s="15" t="n">
        <v>46251</v>
      </c>
      <c r="C132" s="4" t="s">
        <v>33</v>
      </c>
      <c r="D132" s="4" t="s">
        <v>151</v>
      </c>
      <c r="E132" s="17" t="s">
        <v>152</v>
      </c>
      <c r="F132" s="4" t="s">
        <v>121</v>
      </c>
      <c r="G132" s="11" t="n">
        <v>30</v>
      </c>
      <c r="H132" s="4" t="s">
        <v>55</v>
      </c>
      <c r="I132" s="11" t="n">
        <v>25</v>
      </c>
      <c r="J132" s="11" t="n">
        <f aca="false">IF(AND(ISNUMBER(G132),ISNUMBER(I132)),I132-G132,"")</f>
        <v>-5</v>
      </c>
      <c r="K132" s="10" t="n">
        <f aca="false">IF(H132="Done",1,IF(H132="Partial",0.5,IF(H132="Planned","",0)))</f>
        <v>1</v>
      </c>
      <c r="L132" s="17"/>
      <c r="M132" s="17"/>
      <c r="N132" s="17"/>
    </row>
    <row r="133" customFormat="false" ht="15" hidden="false" customHeight="false" outlineLevel="0" collapsed="false">
      <c r="A133" s="4" t="n">
        <v>132</v>
      </c>
      <c r="B133" s="15" t="n">
        <v>46251</v>
      </c>
      <c r="C133" s="4" t="s">
        <v>31</v>
      </c>
      <c r="D133" s="4" t="s">
        <v>134</v>
      </c>
      <c r="E133" s="17" t="s">
        <v>135</v>
      </c>
      <c r="F133" s="4" t="s">
        <v>121</v>
      </c>
      <c r="G133" s="11" t="n">
        <v>45</v>
      </c>
      <c r="H133" s="4" t="s">
        <v>126</v>
      </c>
      <c r="I133" s="11"/>
      <c r="J133" s="11" t="str">
        <f aca="false">IF(AND(ISNUMBER(G133),ISNUMBER(I133)),I133-G133,"")</f>
        <v/>
      </c>
      <c r="K133" s="10" t="n">
        <f aca="false">IF(H133="Done",1,IF(H133="Partial",0.5,IF(H133="Planned","",0)))</f>
        <v>0</v>
      </c>
      <c r="L133" s="17"/>
      <c r="M133" s="17" t="s">
        <v>127</v>
      </c>
      <c r="N133" s="17"/>
    </row>
    <row r="134" customFormat="false" ht="15" hidden="false" customHeight="false" outlineLevel="0" collapsed="false">
      <c r="A134" s="4" t="n">
        <v>133</v>
      </c>
      <c r="B134" s="15" t="n">
        <v>46251</v>
      </c>
      <c r="C134" s="4" t="s">
        <v>32</v>
      </c>
      <c r="D134" s="4" t="s">
        <v>140</v>
      </c>
      <c r="E134" s="17" t="s">
        <v>141</v>
      </c>
      <c r="F134" s="4" t="s">
        <v>121</v>
      </c>
      <c r="G134" s="11" t="n">
        <v>45</v>
      </c>
      <c r="H134" s="4" t="s">
        <v>150</v>
      </c>
      <c r="I134" s="11"/>
      <c r="J134" s="11" t="str">
        <f aca="false">IF(AND(ISNUMBER(G134),ISNUMBER(I134)),I134-G134,"")</f>
        <v/>
      </c>
      <c r="K134" s="10" t="n">
        <f aca="false">IF(H134="Done",1,IF(H134="Partial",0.5,IF(H134="Planned","",0)))</f>
        <v>0</v>
      </c>
      <c r="L134" s="17"/>
      <c r="M134" s="17" t="s">
        <v>155</v>
      </c>
      <c r="N134" s="17" t="s">
        <v>143</v>
      </c>
    </row>
    <row r="135" customFormat="false" ht="23.85" hidden="false" customHeight="false" outlineLevel="0" collapsed="false">
      <c r="A135" s="4" t="n">
        <v>134</v>
      </c>
      <c r="B135" s="15" t="n">
        <v>46251</v>
      </c>
      <c r="C135" s="4" t="s">
        <v>31</v>
      </c>
      <c r="D135" s="4" t="s">
        <v>119</v>
      </c>
      <c r="E135" s="17" t="s">
        <v>120</v>
      </c>
      <c r="F135" s="4" t="s">
        <v>130</v>
      </c>
      <c r="G135" s="11" t="n">
        <v>60</v>
      </c>
      <c r="H135" s="4" t="s">
        <v>126</v>
      </c>
      <c r="I135" s="11"/>
      <c r="J135" s="11" t="str">
        <f aca="false">IF(AND(ISNUMBER(G135),ISNUMBER(I135)),I135-G135,"")</f>
        <v/>
      </c>
      <c r="K135" s="10" t="n">
        <f aca="false">IF(H135="Done",1,IF(H135="Partial",0.5,IF(H135="Planned","",0)))</f>
        <v>0</v>
      </c>
      <c r="L135" s="17"/>
      <c r="M135" s="17" t="s">
        <v>142</v>
      </c>
      <c r="N135" s="17" t="s">
        <v>123</v>
      </c>
    </row>
    <row r="136" customFormat="false" ht="15" hidden="false" customHeight="false" outlineLevel="0" collapsed="false">
      <c r="A136" s="4" t="n">
        <v>135</v>
      </c>
      <c r="B136" s="15" t="n">
        <v>46252</v>
      </c>
      <c r="C136" s="4" t="s">
        <v>30</v>
      </c>
      <c r="D136" s="4" t="s">
        <v>156</v>
      </c>
      <c r="E136" s="17" t="s">
        <v>157</v>
      </c>
      <c r="F136" s="4" t="s">
        <v>121</v>
      </c>
      <c r="G136" s="11" t="n">
        <v>30</v>
      </c>
      <c r="H136" s="4" t="s">
        <v>154</v>
      </c>
      <c r="I136" s="11"/>
      <c r="J136" s="11" t="str">
        <f aca="false">IF(AND(ISNUMBER(G136),ISNUMBER(I136)),I136-G136,"")</f>
        <v/>
      </c>
      <c r="K136" s="10" t="n">
        <f aca="false">IF(H136="Done",1,IF(H136="Partial",0.5,IF(H136="Planned","",0)))</f>
        <v>0</v>
      </c>
      <c r="L136" s="17"/>
      <c r="M136" s="17" t="s">
        <v>155</v>
      </c>
      <c r="N136" s="17" t="s">
        <v>158</v>
      </c>
    </row>
    <row r="137" customFormat="false" ht="15" hidden="false" customHeight="false" outlineLevel="0" collapsed="false">
      <c r="A137" s="4" t="n">
        <v>136</v>
      </c>
      <c r="B137" s="15" t="n">
        <v>46252</v>
      </c>
      <c r="C137" s="4" t="s">
        <v>34</v>
      </c>
      <c r="D137" s="4" t="s">
        <v>124</v>
      </c>
      <c r="E137" s="17" t="s">
        <v>125</v>
      </c>
      <c r="F137" s="4" t="s">
        <v>130</v>
      </c>
      <c r="G137" s="11" t="n">
        <v>20</v>
      </c>
      <c r="H137" s="4" t="s">
        <v>55</v>
      </c>
      <c r="I137" s="11" t="n">
        <v>18</v>
      </c>
      <c r="J137" s="11" t="n">
        <f aca="false">IF(AND(ISNUMBER(G137),ISNUMBER(I137)),I137-G137,"")</f>
        <v>-2</v>
      </c>
      <c r="K137" s="10" t="n">
        <f aca="false">IF(H137="Done",1,IF(H137="Partial",0.5,IF(H137="Planned","",0)))</f>
        <v>1</v>
      </c>
      <c r="L137" s="17"/>
      <c r="M137" s="17"/>
      <c r="N137" s="17"/>
    </row>
    <row r="138" customFormat="false" ht="23.85" hidden="false" customHeight="false" outlineLevel="0" collapsed="false">
      <c r="A138" s="4" t="n">
        <v>137</v>
      </c>
      <c r="B138" s="15" t="n">
        <v>46252</v>
      </c>
      <c r="C138" s="4" t="s">
        <v>31</v>
      </c>
      <c r="D138" s="4" t="s">
        <v>119</v>
      </c>
      <c r="E138" s="17" t="s">
        <v>120</v>
      </c>
      <c r="F138" s="4" t="s">
        <v>130</v>
      </c>
      <c r="G138" s="11" t="n">
        <v>60</v>
      </c>
      <c r="H138" s="4" t="s">
        <v>55</v>
      </c>
      <c r="I138" s="11" t="n">
        <v>70</v>
      </c>
      <c r="J138" s="11" t="n">
        <f aca="false">IF(AND(ISNUMBER(G138),ISNUMBER(I138)),I138-G138,"")</f>
        <v>10</v>
      </c>
      <c r="K138" s="10" t="n">
        <f aca="false">IF(H138="Done",1,IF(H138="Partial",0.5,IF(H138="Planned","",0)))</f>
        <v>1</v>
      </c>
      <c r="L138" s="17" t="s">
        <v>122</v>
      </c>
      <c r="M138" s="17"/>
      <c r="N138" s="17" t="s">
        <v>123</v>
      </c>
    </row>
    <row r="139" customFormat="false" ht="15" hidden="false" customHeight="false" outlineLevel="0" collapsed="false">
      <c r="A139" s="4" t="n">
        <v>138</v>
      </c>
      <c r="B139" s="15" t="n">
        <v>46253</v>
      </c>
      <c r="C139" s="4" t="s">
        <v>31</v>
      </c>
      <c r="D139" s="4" t="s">
        <v>159</v>
      </c>
      <c r="E139" s="17" t="s">
        <v>160</v>
      </c>
      <c r="F139" s="4" t="s">
        <v>130</v>
      </c>
      <c r="G139" s="11" t="n">
        <v>60</v>
      </c>
      <c r="H139" s="4" t="s">
        <v>126</v>
      </c>
      <c r="I139" s="11"/>
      <c r="J139" s="11" t="str">
        <f aca="false">IF(AND(ISNUMBER(G139),ISNUMBER(I139)),I139-G139,"")</f>
        <v/>
      </c>
      <c r="K139" s="10" t="n">
        <f aca="false">IF(H139="Done",1,IF(H139="Partial",0.5,IF(H139="Planned","",0)))</f>
        <v>0</v>
      </c>
      <c r="L139" s="17"/>
      <c r="M139" s="17" t="s">
        <v>153</v>
      </c>
      <c r="N139" s="17"/>
    </row>
    <row r="140" customFormat="false" ht="15" hidden="false" customHeight="false" outlineLevel="0" collapsed="false">
      <c r="A140" s="4" t="n">
        <v>139</v>
      </c>
      <c r="B140" s="15" t="n">
        <v>46253</v>
      </c>
      <c r="C140" s="4" t="s">
        <v>29</v>
      </c>
      <c r="D140" s="4" t="s">
        <v>116</v>
      </c>
      <c r="E140" s="17" t="s">
        <v>117</v>
      </c>
      <c r="F140" s="4" t="s">
        <v>130</v>
      </c>
      <c r="G140" s="11" t="n">
        <v>15</v>
      </c>
      <c r="H140" s="4" t="s">
        <v>55</v>
      </c>
      <c r="I140" s="11" t="n">
        <v>16</v>
      </c>
      <c r="J140" s="11" t="n">
        <f aca="false">IF(AND(ISNUMBER(G140),ISNUMBER(I140)),I140-G140,"")</f>
        <v>1</v>
      </c>
      <c r="K140" s="10" t="n">
        <f aca="false">IF(H140="Done",1,IF(H140="Partial",0.5,IF(H140="Planned","",0)))</f>
        <v>1</v>
      </c>
      <c r="L140" s="17"/>
      <c r="M140" s="17"/>
      <c r="N140" s="17"/>
    </row>
    <row r="141" customFormat="false" ht="23.85" hidden="false" customHeight="false" outlineLevel="0" collapsed="false">
      <c r="A141" s="4" t="n">
        <v>140</v>
      </c>
      <c r="B141" s="15" t="n">
        <v>46254</v>
      </c>
      <c r="C141" s="4" t="s">
        <v>31</v>
      </c>
      <c r="D141" s="4" t="s">
        <v>119</v>
      </c>
      <c r="E141" s="17" t="s">
        <v>120</v>
      </c>
      <c r="F141" s="4" t="s">
        <v>130</v>
      </c>
      <c r="G141" s="11" t="n">
        <v>60</v>
      </c>
      <c r="H141" s="4" t="s">
        <v>154</v>
      </c>
      <c r="I141" s="11"/>
      <c r="J141" s="11" t="str">
        <f aca="false">IF(AND(ISNUMBER(G141),ISNUMBER(I141)),I141-G141,"")</f>
        <v/>
      </c>
      <c r="K141" s="10" t="n">
        <f aca="false">IF(H141="Done",1,IF(H141="Partial",0.5,IF(H141="Planned","",0)))</f>
        <v>0</v>
      </c>
      <c r="L141" s="17"/>
      <c r="M141" s="17" t="s">
        <v>163</v>
      </c>
      <c r="N141" s="17" t="s">
        <v>123</v>
      </c>
    </row>
    <row r="142" customFormat="false" ht="15" hidden="false" customHeight="false" outlineLevel="0" collapsed="false">
      <c r="A142" s="4" t="n">
        <v>141</v>
      </c>
      <c r="B142" s="15" t="n">
        <v>46254</v>
      </c>
      <c r="C142" s="4" t="s">
        <v>29</v>
      </c>
      <c r="D142" s="4" t="s">
        <v>116</v>
      </c>
      <c r="E142" s="17" t="s">
        <v>117</v>
      </c>
      <c r="F142" s="4" t="s">
        <v>121</v>
      </c>
      <c r="G142" s="11" t="n">
        <v>15</v>
      </c>
      <c r="H142" s="4" t="s">
        <v>55</v>
      </c>
      <c r="I142" s="11" t="n">
        <v>17</v>
      </c>
      <c r="J142" s="11" t="n">
        <f aca="false">IF(AND(ISNUMBER(G142),ISNUMBER(I142)),I142-G142,"")</f>
        <v>2</v>
      </c>
      <c r="K142" s="10" t="n">
        <f aca="false">IF(H142="Done",1,IF(H142="Partial",0.5,IF(H142="Planned","",0)))</f>
        <v>1</v>
      </c>
      <c r="L142" s="17"/>
      <c r="M142" s="17"/>
      <c r="N142" s="17"/>
    </row>
    <row r="143" customFormat="false" ht="15" hidden="false" customHeight="false" outlineLevel="0" collapsed="false">
      <c r="A143" s="4" t="n">
        <v>142</v>
      </c>
      <c r="B143" s="15" t="n">
        <v>46254</v>
      </c>
      <c r="C143" s="4" t="s">
        <v>32</v>
      </c>
      <c r="D143" s="4" t="s">
        <v>144</v>
      </c>
      <c r="E143" s="17" t="s">
        <v>145</v>
      </c>
      <c r="F143" s="4" t="s">
        <v>130</v>
      </c>
      <c r="G143" s="11" t="n">
        <v>60</v>
      </c>
      <c r="H143" s="4" t="s">
        <v>126</v>
      </c>
      <c r="I143" s="11"/>
      <c r="J143" s="11" t="str">
        <f aca="false">IF(AND(ISNUMBER(G143),ISNUMBER(I143)),I143-G143,"")</f>
        <v/>
      </c>
      <c r="K143" s="10" t="n">
        <f aca="false">IF(H143="Done",1,IF(H143="Partial",0.5,IF(H143="Planned","",0)))</f>
        <v>0</v>
      </c>
      <c r="L143" s="17"/>
      <c r="M143" s="17" t="s">
        <v>163</v>
      </c>
      <c r="N143" s="17"/>
    </row>
    <row r="144" customFormat="false" ht="15" hidden="false" customHeight="false" outlineLevel="0" collapsed="false">
      <c r="A144" s="4" t="n">
        <v>143</v>
      </c>
      <c r="B144" s="15" t="n">
        <v>46255</v>
      </c>
      <c r="C144" s="4" t="s">
        <v>29</v>
      </c>
      <c r="D144" s="4" t="s">
        <v>131</v>
      </c>
      <c r="E144" s="17" t="s">
        <v>132</v>
      </c>
      <c r="F144" s="4" t="s">
        <v>130</v>
      </c>
      <c r="G144" s="11" t="n">
        <v>20</v>
      </c>
      <c r="H144" s="4" t="s">
        <v>55</v>
      </c>
      <c r="I144" s="11" t="n">
        <v>23</v>
      </c>
      <c r="J144" s="11" t="n">
        <f aca="false">IF(AND(ISNUMBER(G144),ISNUMBER(I144)),I144-G144,"")</f>
        <v>3</v>
      </c>
      <c r="K144" s="10" t="n">
        <f aca="false">IF(H144="Done",1,IF(H144="Partial",0.5,IF(H144="Planned","",0)))</f>
        <v>1</v>
      </c>
      <c r="L144" s="17"/>
      <c r="M144" s="17"/>
      <c r="N144" s="17" t="s">
        <v>133</v>
      </c>
    </row>
    <row r="145" customFormat="false" ht="15" hidden="false" customHeight="false" outlineLevel="0" collapsed="false">
      <c r="A145" s="4" t="n">
        <v>144</v>
      </c>
      <c r="B145" s="15" t="n">
        <v>46255</v>
      </c>
      <c r="C145" s="4" t="s">
        <v>34</v>
      </c>
      <c r="D145" s="4" t="s">
        <v>124</v>
      </c>
      <c r="E145" s="17" t="s">
        <v>125</v>
      </c>
      <c r="F145" s="4" t="s">
        <v>121</v>
      </c>
      <c r="G145" s="11" t="n">
        <v>20</v>
      </c>
      <c r="H145" s="4" t="s">
        <v>55</v>
      </c>
      <c r="I145" s="11" t="n">
        <v>20</v>
      </c>
      <c r="J145" s="11" t="n">
        <f aca="false">IF(AND(ISNUMBER(G145),ISNUMBER(I145)),I145-G145,"")</f>
        <v>0</v>
      </c>
      <c r="K145" s="10" t="n">
        <f aca="false">IF(H145="Done",1,IF(H145="Partial",0.5,IF(H145="Planned","",0)))</f>
        <v>1</v>
      </c>
      <c r="L145" s="17"/>
      <c r="M145" s="17"/>
      <c r="N145" s="17"/>
    </row>
    <row r="146" customFormat="false" ht="23.85" hidden="false" customHeight="false" outlineLevel="0" collapsed="false">
      <c r="A146" s="4" t="n">
        <v>145</v>
      </c>
      <c r="B146" s="15" t="n">
        <v>46255</v>
      </c>
      <c r="C146" s="4" t="s">
        <v>31</v>
      </c>
      <c r="D146" s="4" t="s">
        <v>119</v>
      </c>
      <c r="E146" s="17" t="s">
        <v>120</v>
      </c>
      <c r="F146" s="4" t="s">
        <v>130</v>
      </c>
      <c r="G146" s="11" t="n">
        <v>60</v>
      </c>
      <c r="H146" s="4" t="s">
        <v>150</v>
      </c>
      <c r="I146" s="11"/>
      <c r="J146" s="11" t="str">
        <f aca="false">IF(AND(ISNUMBER(G146),ISNUMBER(I146)),I146-G146,"")</f>
        <v/>
      </c>
      <c r="K146" s="10" t="n">
        <f aca="false">IF(H146="Done",1,IF(H146="Partial",0.5,IF(H146="Planned","",0)))</f>
        <v>0</v>
      </c>
      <c r="L146" s="17"/>
      <c r="M146" s="17" t="s">
        <v>146</v>
      </c>
      <c r="N146" s="17" t="s">
        <v>123</v>
      </c>
    </row>
    <row r="147" customFormat="false" ht="15" hidden="false" customHeight="false" outlineLevel="0" collapsed="false">
      <c r="A147" s="4" t="n">
        <v>146</v>
      </c>
      <c r="B147" s="15" t="n">
        <v>46255</v>
      </c>
      <c r="C147" s="4" t="s">
        <v>32</v>
      </c>
      <c r="D147" s="4" t="s">
        <v>144</v>
      </c>
      <c r="E147" s="17" t="s">
        <v>145</v>
      </c>
      <c r="F147" s="4" t="s">
        <v>130</v>
      </c>
      <c r="G147" s="11" t="n">
        <v>60</v>
      </c>
      <c r="H147" s="4" t="s">
        <v>150</v>
      </c>
      <c r="I147" s="11"/>
      <c r="J147" s="11" t="str">
        <f aca="false">IF(AND(ISNUMBER(G147),ISNUMBER(I147)),I147-G147,"")</f>
        <v/>
      </c>
      <c r="K147" s="10" t="n">
        <f aca="false">IF(H147="Done",1,IF(H147="Partial",0.5,IF(H147="Planned","",0)))</f>
        <v>0</v>
      </c>
      <c r="L147" s="17"/>
      <c r="M147" s="17" t="s">
        <v>155</v>
      </c>
      <c r="N147" s="17"/>
    </row>
    <row r="148" customFormat="false" ht="15" hidden="false" customHeight="false" outlineLevel="0" collapsed="false">
      <c r="A148" s="4" t="n">
        <v>147</v>
      </c>
      <c r="B148" s="15" t="n">
        <v>46255</v>
      </c>
      <c r="C148" s="4" t="s">
        <v>30</v>
      </c>
      <c r="D148" s="4" t="s">
        <v>156</v>
      </c>
      <c r="E148" s="17" t="s">
        <v>157</v>
      </c>
      <c r="F148" s="4" t="s">
        <v>130</v>
      </c>
      <c r="G148" s="11" t="n">
        <v>30</v>
      </c>
      <c r="H148" s="4" t="s">
        <v>150</v>
      </c>
      <c r="I148" s="11"/>
      <c r="J148" s="11" t="str">
        <f aca="false">IF(AND(ISNUMBER(G148),ISNUMBER(I148)),I148-G148,"")</f>
        <v/>
      </c>
      <c r="K148" s="10" t="n">
        <f aca="false">IF(H148="Done",1,IF(H148="Partial",0.5,IF(H148="Planned","",0)))</f>
        <v>0</v>
      </c>
      <c r="L148" s="17"/>
      <c r="M148" s="17" t="s">
        <v>127</v>
      </c>
      <c r="N148" s="17" t="s">
        <v>158</v>
      </c>
    </row>
    <row r="149" customFormat="false" ht="15" hidden="false" customHeight="false" outlineLevel="0" collapsed="false">
      <c r="A149" s="4" t="n">
        <v>148</v>
      </c>
      <c r="B149" s="15" t="n">
        <v>46255</v>
      </c>
      <c r="C149" s="4" t="s">
        <v>31</v>
      </c>
      <c r="D149" s="4" t="s">
        <v>134</v>
      </c>
      <c r="E149" s="17" t="s">
        <v>135</v>
      </c>
      <c r="F149" s="4" t="s">
        <v>130</v>
      </c>
      <c r="G149" s="11" t="n">
        <v>45</v>
      </c>
      <c r="H149" s="4" t="s">
        <v>150</v>
      </c>
      <c r="I149" s="11"/>
      <c r="J149" s="11" t="str">
        <f aca="false">IF(AND(ISNUMBER(G149),ISNUMBER(I149)),I149-G149,"")</f>
        <v/>
      </c>
      <c r="K149" s="10" t="n">
        <f aca="false">IF(H149="Done",1,IF(H149="Partial",0.5,IF(H149="Planned","",0)))</f>
        <v>0</v>
      </c>
      <c r="L149" s="17"/>
      <c r="M149" s="17" t="s">
        <v>146</v>
      </c>
      <c r="N149" s="17"/>
    </row>
    <row r="150" customFormat="false" ht="15" hidden="false" customHeight="false" outlineLevel="0" collapsed="false">
      <c r="A150" s="4" t="n">
        <v>149</v>
      </c>
      <c r="B150" s="15" t="n">
        <v>46255</v>
      </c>
      <c r="C150" s="4" t="s">
        <v>29</v>
      </c>
      <c r="D150" s="4" t="s">
        <v>116</v>
      </c>
      <c r="E150" s="17" t="s">
        <v>117</v>
      </c>
      <c r="F150" s="4" t="s">
        <v>130</v>
      </c>
      <c r="G150" s="11" t="n">
        <v>15</v>
      </c>
      <c r="H150" s="4" t="s">
        <v>126</v>
      </c>
      <c r="I150" s="11"/>
      <c r="J150" s="11" t="str">
        <f aca="false">IF(AND(ISNUMBER(G150),ISNUMBER(I150)),I150-G150,"")</f>
        <v/>
      </c>
      <c r="K150" s="10" t="n">
        <f aca="false">IF(H150="Done",1,IF(H150="Partial",0.5,IF(H150="Planned","",0)))</f>
        <v>0</v>
      </c>
      <c r="L150" s="17"/>
      <c r="M150" s="17" t="s">
        <v>155</v>
      </c>
      <c r="N150" s="17"/>
    </row>
    <row r="151" customFormat="false" ht="15" hidden="false" customHeight="false" outlineLevel="0" collapsed="false">
      <c r="A151" s="4" t="n">
        <v>150</v>
      </c>
      <c r="B151" s="15" t="n">
        <v>46256</v>
      </c>
      <c r="C151" s="4" t="s">
        <v>31</v>
      </c>
      <c r="D151" s="4" t="s">
        <v>159</v>
      </c>
      <c r="E151" s="17" t="s">
        <v>160</v>
      </c>
      <c r="F151" s="4" t="s">
        <v>118</v>
      </c>
      <c r="G151" s="11" t="n">
        <v>60</v>
      </c>
      <c r="H151" s="4" t="s">
        <v>139</v>
      </c>
      <c r="I151" s="11" t="n">
        <v>36</v>
      </c>
      <c r="J151" s="11" t="n">
        <f aca="false">IF(AND(ISNUMBER(G151),ISNUMBER(I151)),I151-G151,"")</f>
        <v>-24</v>
      </c>
      <c r="K151" s="10" t="n">
        <f aca="false">IF(H151="Done",1,IF(H151="Partial",0.5,IF(H151="Planned","",0)))</f>
        <v>0.5</v>
      </c>
      <c r="L151" s="17" t="s">
        <v>122</v>
      </c>
      <c r="M151" s="17"/>
      <c r="N151" s="17"/>
    </row>
    <row r="152" customFormat="false" ht="23.85" hidden="false" customHeight="false" outlineLevel="0" collapsed="false">
      <c r="A152" s="4" t="n">
        <v>151</v>
      </c>
      <c r="B152" s="15" t="n">
        <v>46256</v>
      </c>
      <c r="C152" s="4" t="s">
        <v>31</v>
      </c>
      <c r="D152" s="4" t="s">
        <v>119</v>
      </c>
      <c r="E152" s="17" t="s">
        <v>120</v>
      </c>
      <c r="F152" s="4" t="s">
        <v>118</v>
      </c>
      <c r="G152" s="11" t="n">
        <v>60</v>
      </c>
      <c r="H152" s="4" t="s">
        <v>154</v>
      </c>
      <c r="I152" s="11"/>
      <c r="J152" s="11" t="str">
        <f aca="false">IF(AND(ISNUMBER(G152),ISNUMBER(I152)),I152-G152,"")</f>
        <v/>
      </c>
      <c r="K152" s="10" t="n">
        <f aca="false">IF(H152="Done",1,IF(H152="Partial",0.5,IF(H152="Planned","",0)))</f>
        <v>0</v>
      </c>
      <c r="L152" s="17"/>
      <c r="M152" s="17" t="s">
        <v>155</v>
      </c>
      <c r="N152" s="17" t="s">
        <v>123</v>
      </c>
    </row>
    <row r="153" customFormat="false" ht="15" hidden="false" customHeight="false" outlineLevel="0" collapsed="false">
      <c r="A153" s="4" t="n">
        <v>152</v>
      </c>
      <c r="B153" s="15" t="n">
        <v>46256</v>
      </c>
      <c r="C153" s="4" t="s">
        <v>29</v>
      </c>
      <c r="D153" s="4" t="s">
        <v>131</v>
      </c>
      <c r="E153" s="17" t="s">
        <v>132</v>
      </c>
      <c r="F153" s="4" t="s">
        <v>130</v>
      </c>
      <c r="G153" s="11" t="n">
        <v>20</v>
      </c>
      <c r="H153" s="4" t="s">
        <v>55</v>
      </c>
      <c r="I153" s="11" t="n">
        <v>13</v>
      </c>
      <c r="J153" s="11" t="n">
        <f aca="false">IF(AND(ISNUMBER(G153),ISNUMBER(I153)),I153-G153,"")</f>
        <v>-7</v>
      </c>
      <c r="K153" s="10" t="n">
        <f aca="false">IF(H153="Done",1,IF(H153="Partial",0.5,IF(H153="Planned","",0)))</f>
        <v>1</v>
      </c>
      <c r="L153" s="17"/>
      <c r="M153" s="17"/>
      <c r="N153" s="17" t="s">
        <v>133</v>
      </c>
    </row>
    <row r="154" customFormat="false" ht="15" hidden="false" customHeight="false" outlineLevel="0" collapsed="false">
      <c r="A154" s="4" t="n">
        <v>153</v>
      </c>
      <c r="B154" s="15" t="n">
        <v>46256</v>
      </c>
      <c r="C154" s="4" t="s">
        <v>31</v>
      </c>
      <c r="D154" s="4" t="s">
        <v>134</v>
      </c>
      <c r="E154" s="17" t="s">
        <v>135</v>
      </c>
      <c r="F154" s="4" t="s">
        <v>130</v>
      </c>
      <c r="G154" s="11" t="n">
        <v>45</v>
      </c>
      <c r="H154" s="4" t="s">
        <v>150</v>
      </c>
      <c r="I154" s="11"/>
      <c r="J154" s="11" t="str">
        <f aca="false">IF(AND(ISNUMBER(G154),ISNUMBER(I154)),I154-G154,"")</f>
        <v/>
      </c>
      <c r="K154" s="10" t="n">
        <f aca="false">IF(H154="Done",1,IF(H154="Partial",0.5,IF(H154="Planned","",0)))</f>
        <v>0</v>
      </c>
      <c r="L154" s="17"/>
      <c r="M154" s="17" t="s">
        <v>127</v>
      </c>
      <c r="N154" s="17"/>
    </row>
    <row r="155" customFormat="false" ht="15" hidden="false" customHeight="false" outlineLevel="0" collapsed="false">
      <c r="A155" s="4" t="n">
        <v>154</v>
      </c>
      <c r="B155" s="15" t="n">
        <v>46257</v>
      </c>
      <c r="C155" s="4" t="s">
        <v>31</v>
      </c>
      <c r="D155" s="4" t="s">
        <v>159</v>
      </c>
      <c r="E155" s="17" t="s">
        <v>160</v>
      </c>
      <c r="F155" s="4" t="s">
        <v>130</v>
      </c>
      <c r="G155" s="11" t="n">
        <v>60</v>
      </c>
      <c r="H155" s="4" t="s">
        <v>154</v>
      </c>
      <c r="I155" s="11"/>
      <c r="J155" s="11" t="str">
        <f aca="false">IF(AND(ISNUMBER(G155),ISNUMBER(I155)),I155-G155,"")</f>
        <v/>
      </c>
      <c r="K155" s="10" t="n">
        <f aca="false">IF(H155="Done",1,IF(H155="Partial",0.5,IF(H155="Planned","",0)))</f>
        <v>0</v>
      </c>
      <c r="L155" s="17"/>
      <c r="M155" s="17" t="s">
        <v>127</v>
      </c>
      <c r="N155" s="17"/>
    </row>
    <row r="156" customFormat="false" ht="15" hidden="false" customHeight="false" outlineLevel="0" collapsed="false">
      <c r="A156" s="4" t="n">
        <v>155</v>
      </c>
      <c r="B156" s="15" t="n">
        <v>46257</v>
      </c>
      <c r="C156" s="4" t="s">
        <v>32</v>
      </c>
      <c r="D156" s="4" t="s">
        <v>144</v>
      </c>
      <c r="E156" s="17" t="s">
        <v>145</v>
      </c>
      <c r="F156" s="4" t="s">
        <v>118</v>
      </c>
      <c r="G156" s="11" t="n">
        <v>60</v>
      </c>
      <c r="H156" s="4" t="s">
        <v>126</v>
      </c>
      <c r="I156" s="11"/>
      <c r="J156" s="11" t="str">
        <f aca="false">IF(AND(ISNUMBER(G156),ISNUMBER(I156)),I156-G156,"")</f>
        <v/>
      </c>
      <c r="K156" s="10" t="n">
        <f aca="false">IF(H156="Done",1,IF(H156="Partial",0.5,IF(H156="Planned","",0)))</f>
        <v>0</v>
      </c>
      <c r="L156" s="17"/>
      <c r="M156" s="17" t="s">
        <v>147</v>
      </c>
      <c r="N156" s="17"/>
    </row>
    <row r="157" customFormat="false" ht="23.85" hidden="false" customHeight="false" outlineLevel="0" collapsed="false">
      <c r="A157" s="4" t="n">
        <v>156</v>
      </c>
      <c r="B157" s="15" t="n">
        <v>46257</v>
      </c>
      <c r="C157" s="4" t="s">
        <v>31</v>
      </c>
      <c r="D157" s="4" t="s">
        <v>119</v>
      </c>
      <c r="E157" s="17" t="s">
        <v>120</v>
      </c>
      <c r="F157" s="4" t="s">
        <v>121</v>
      </c>
      <c r="G157" s="11" t="n">
        <v>60</v>
      </c>
      <c r="H157" s="4" t="s">
        <v>55</v>
      </c>
      <c r="I157" s="11" t="n">
        <v>84</v>
      </c>
      <c r="J157" s="11" t="n">
        <f aca="false">IF(AND(ISNUMBER(G157),ISNUMBER(I157)),I157-G157,"")</f>
        <v>24</v>
      </c>
      <c r="K157" s="10" t="n">
        <f aca="false">IF(H157="Done",1,IF(H157="Partial",0.5,IF(H157="Planned","",0)))</f>
        <v>1</v>
      </c>
      <c r="L157" s="17"/>
      <c r="M157" s="17"/>
      <c r="N157" s="17" t="s">
        <v>123</v>
      </c>
    </row>
    <row r="158" customFormat="false" ht="15" hidden="false" customHeight="false" outlineLevel="0" collapsed="false">
      <c r="A158" s="4" t="n">
        <v>157</v>
      </c>
      <c r="B158" s="15" t="n">
        <v>46258</v>
      </c>
      <c r="C158" s="4" t="s">
        <v>30</v>
      </c>
      <c r="D158" s="4" t="s">
        <v>156</v>
      </c>
      <c r="E158" s="17" t="s">
        <v>157</v>
      </c>
      <c r="F158" s="4" t="s">
        <v>130</v>
      </c>
      <c r="G158" s="11" t="n">
        <v>30</v>
      </c>
      <c r="H158" s="4" t="s">
        <v>150</v>
      </c>
      <c r="I158" s="11"/>
      <c r="J158" s="11" t="str">
        <f aca="false">IF(AND(ISNUMBER(G158),ISNUMBER(I158)),I158-G158,"")</f>
        <v/>
      </c>
      <c r="K158" s="10" t="n">
        <f aca="false">IF(H158="Done",1,IF(H158="Partial",0.5,IF(H158="Planned","",0)))</f>
        <v>0</v>
      </c>
      <c r="L158" s="17"/>
      <c r="M158" s="17" t="s">
        <v>163</v>
      </c>
      <c r="N158" s="17" t="s">
        <v>158</v>
      </c>
    </row>
    <row r="159" customFormat="false" ht="15" hidden="false" customHeight="false" outlineLevel="0" collapsed="false">
      <c r="A159" s="4" t="n">
        <v>158</v>
      </c>
      <c r="B159" s="15" t="n">
        <v>46258</v>
      </c>
      <c r="C159" s="4" t="s">
        <v>29</v>
      </c>
      <c r="D159" s="4" t="s">
        <v>131</v>
      </c>
      <c r="E159" s="17" t="s">
        <v>132</v>
      </c>
      <c r="F159" s="4" t="s">
        <v>121</v>
      </c>
      <c r="G159" s="11" t="n">
        <v>20</v>
      </c>
      <c r="H159" s="4" t="s">
        <v>55</v>
      </c>
      <c r="I159" s="11" t="n">
        <v>23</v>
      </c>
      <c r="J159" s="11" t="n">
        <f aca="false">IF(AND(ISNUMBER(G159),ISNUMBER(I159)),I159-G159,"")</f>
        <v>3</v>
      </c>
      <c r="K159" s="10" t="n">
        <f aca="false">IF(H159="Done",1,IF(H159="Partial",0.5,IF(H159="Planned","",0)))</f>
        <v>1</v>
      </c>
      <c r="L159" s="17"/>
      <c r="M159" s="17"/>
      <c r="N159" s="17" t="s">
        <v>133</v>
      </c>
    </row>
    <row r="160" customFormat="false" ht="23.85" hidden="false" customHeight="false" outlineLevel="0" collapsed="false">
      <c r="A160" s="4" t="n">
        <v>159</v>
      </c>
      <c r="B160" s="15" t="n">
        <v>46258</v>
      </c>
      <c r="C160" s="4" t="s">
        <v>31</v>
      </c>
      <c r="D160" s="4" t="s">
        <v>119</v>
      </c>
      <c r="E160" s="17" t="s">
        <v>120</v>
      </c>
      <c r="F160" s="4" t="s">
        <v>118</v>
      </c>
      <c r="G160" s="11" t="n">
        <v>60</v>
      </c>
      <c r="H160" s="4" t="s">
        <v>126</v>
      </c>
      <c r="I160" s="11"/>
      <c r="J160" s="11" t="str">
        <f aca="false">IF(AND(ISNUMBER(G160),ISNUMBER(I160)),I160-G160,"")</f>
        <v/>
      </c>
      <c r="K160" s="10" t="n">
        <f aca="false">IF(H160="Done",1,IF(H160="Partial",0.5,IF(H160="Planned","",0)))</f>
        <v>0</v>
      </c>
      <c r="L160" s="17"/>
      <c r="M160" s="17" t="s">
        <v>142</v>
      </c>
      <c r="N160" s="17" t="s">
        <v>123</v>
      </c>
    </row>
    <row r="161" customFormat="false" ht="15" hidden="false" customHeight="false" outlineLevel="0" collapsed="false">
      <c r="A161" s="4" t="n">
        <v>160</v>
      </c>
      <c r="B161" s="15" t="n">
        <v>46258</v>
      </c>
      <c r="C161" s="4" t="s">
        <v>32</v>
      </c>
      <c r="D161" s="4" t="s">
        <v>140</v>
      </c>
      <c r="E161" s="17" t="s">
        <v>141</v>
      </c>
      <c r="F161" s="4" t="s">
        <v>130</v>
      </c>
      <c r="G161" s="11" t="n">
        <v>45</v>
      </c>
      <c r="H161" s="4" t="s">
        <v>150</v>
      </c>
      <c r="I161" s="11"/>
      <c r="J161" s="11" t="str">
        <f aca="false">IF(AND(ISNUMBER(G161),ISNUMBER(I161)),I161-G161,"")</f>
        <v/>
      </c>
      <c r="K161" s="10" t="n">
        <f aca="false">IF(H161="Done",1,IF(H161="Partial",0.5,IF(H161="Planned","",0)))</f>
        <v>0</v>
      </c>
      <c r="L161" s="17"/>
      <c r="M161" s="17" t="s">
        <v>142</v>
      </c>
      <c r="N161" s="17" t="s">
        <v>143</v>
      </c>
    </row>
    <row r="162" customFormat="false" ht="15" hidden="false" customHeight="false" outlineLevel="0" collapsed="false">
      <c r="A162" s="4" t="n">
        <v>161</v>
      </c>
      <c r="B162" s="15" t="n">
        <v>46258</v>
      </c>
      <c r="C162" s="4" t="s">
        <v>34</v>
      </c>
      <c r="D162" s="4" t="s">
        <v>124</v>
      </c>
      <c r="E162" s="17" t="s">
        <v>125</v>
      </c>
      <c r="F162" s="4" t="s">
        <v>118</v>
      </c>
      <c r="G162" s="11" t="n">
        <v>20</v>
      </c>
      <c r="H162" s="4" t="s">
        <v>126</v>
      </c>
      <c r="I162" s="11"/>
      <c r="J162" s="11" t="str">
        <f aca="false">IF(AND(ISNUMBER(G162),ISNUMBER(I162)),I162-G162,"")</f>
        <v/>
      </c>
      <c r="K162" s="10" t="n">
        <f aca="false">IF(H162="Done",1,IF(H162="Partial",0.5,IF(H162="Planned","",0)))</f>
        <v>0</v>
      </c>
      <c r="L162" s="17"/>
      <c r="M162" s="17" t="s">
        <v>142</v>
      </c>
      <c r="N162" s="17"/>
    </row>
    <row r="163" customFormat="false" ht="23.85" hidden="false" customHeight="false" outlineLevel="0" collapsed="false">
      <c r="A163" s="4" t="n">
        <v>162</v>
      </c>
      <c r="B163" s="15" t="n">
        <v>46259</v>
      </c>
      <c r="C163" s="4" t="s">
        <v>31</v>
      </c>
      <c r="D163" s="4" t="s">
        <v>136</v>
      </c>
      <c r="E163" s="17" t="s">
        <v>137</v>
      </c>
      <c r="F163" s="4" t="s">
        <v>118</v>
      </c>
      <c r="G163" s="11" t="n">
        <v>120</v>
      </c>
      <c r="H163" s="4" t="s">
        <v>55</v>
      </c>
      <c r="I163" s="11" t="n">
        <v>175</v>
      </c>
      <c r="J163" s="11" t="n">
        <f aca="false">IF(AND(ISNUMBER(G163),ISNUMBER(I163)),I163-G163,"")</f>
        <v>55</v>
      </c>
      <c r="K163" s="10" t="n">
        <f aca="false">IF(H163="Done",1,IF(H163="Partial",0.5,IF(H163="Planned","",0)))</f>
        <v>1</v>
      </c>
      <c r="L163" s="17"/>
      <c r="M163" s="17"/>
      <c r="N163" s="17" t="s">
        <v>123</v>
      </c>
    </row>
    <row r="164" customFormat="false" ht="15" hidden="false" customHeight="false" outlineLevel="0" collapsed="false">
      <c r="A164" s="4" t="n">
        <v>163</v>
      </c>
      <c r="B164" s="15" t="n">
        <v>46259</v>
      </c>
      <c r="C164" s="4" t="s">
        <v>29</v>
      </c>
      <c r="D164" s="4" t="s">
        <v>116</v>
      </c>
      <c r="E164" s="17" t="s">
        <v>117</v>
      </c>
      <c r="F164" s="4" t="s">
        <v>121</v>
      </c>
      <c r="G164" s="11" t="n">
        <v>15</v>
      </c>
      <c r="H164" s="4" t="s">
        <v>55</v>
      </c>
      <c r="I164" s="11" t="n">
        <v>17</v>
      </c>
      <c r="J164" s="11" t="n">
        <f aca="false">IF(AND(ISNUMBER(G164),ISNUMBER(I164)),I164-G164,"")</f>
        <v>2</v>
      </c>
      <c r="K164" s="10" t="n">
        <f aca="false">IF(H164="Done",1,IF(H164="Partial",0.5,IF(H164="Planned","",0)))</f>
        <v>1</v>
      </c>
      <c r="L164" s="17"/>
      <c r="M164" s="17"/>
      <c r="N164" s="17"/>
    </row>
    <row r="165" customFormat="false" ht="15" hidden="false" customHeight="false" outlineLevel="0" collapsed="false">
      <c r="A165" s="4" t="n">
        <v>164</v>
      </c>
      <c r="B165" s="15" t="n">
        <v>46259</v>
      </c>
      <c r="C165" s="4" t="s">
        <v>31</v>
      </c>
      <c r="D165" s="4" t="s">
        <v>134</v>
      </c>
      <c r="E165" s="17" t="s">
        <v>135</v>
      </c>
      <c r="F165" s="4" t="s">
        <v>130</v>
      </c>
      <c r="G165" s="11" t="n">
        <v>45</v>
      </c>
      <c r="H165" s="4" t="s">
        <v>126</v>
      </c>
      <c r="I165" s="11"/>
      <c r="J165" s="11" t="str">
        <f aca="false">IF(AND(ISNUMBER(G165),ISNUMBER(I165)),I165-G165,"")</f>
        <v/>
      </c>
      <c r="K165" s="10" t="n">
        <f aca="false">IF(H165="Done",1,IF(H165="Partial",0.5,IF(H165="Planned","",0)))</f>
        <v>0</v>
      </c>
      <c r="L165" s="17"/>
      <c r="M165" s="17" t="s">
        <v>155</v>
      </c>
      <c r="N165" s="17"/>
    </row>
    <row r="166" customFormat="false" ht="15" hidden="false" customHeight="false" outlineLevel="0" collapsed="false">
      <c r="A166" s="4" t="n">
        <v>165</v>
      </c>
      <c r="B166" s="15" t="n">
        <v>46259</v>
      </c>
      <c r="C166" s="4" t="s">
        <v>35</v>
      </c>
      <c r="D166" s="4" t="s">
        <v>148</v>
      </c>
      <c r="E166" s="17" t="s">
        <v>149</v>
      </c>
      <c r="F166" s="4" t="s">
        <v>121</v>
      </c>
      <c r="G166" s="11" t="n">
        <v>30</v>
      </c>
      <c r="H166" s="4" t="s">
        <v>55</v>
      </c>
      <c r="I166" s="11" t="n">
        <v>27</v>
      </c>
      <c r="J166" s="11" t="n">
        <f aca="false">IF(AND(ISNUMBER(G166),ISNUMBER(I166)),I166-G166,"")</f>
        <v>-3</v>
      </c>
      <c r="K166" s="10" t="n">
        <f aca="false">IF(H166="Done",1,IF(H166="Partial",0.5,IF(H166="Planned","",0)))</f>
        <v>1</v>
      </c>
      <c r="L166" s="17"/>
      <c r="M166" s="17"/>
      <c r="N166" s="17"/>
    </row>
    <row r="167" customFormat="false" ht="15" hidden="false" customHeight="false" outlineLevel="0" collapsed="false">
      <c r="A167" s="4" t="n">
        <v>166</v>
      </c>
      <c r="B167" s="15" t="n">
        <v>46259</v>
      </c>
      <c r="C167" s="4" t="s">
        <v>34</v>
      </c>
      <c r="D167" s="4" t="s">
        <v>124</v>
      </c>
      <c r="E167" s="17" t="s">
        <v>125</v>
      </c>
      <c r="F167" s="4" t="s">
        <v>130</v>
      </c>
      <c r="G167" s="11" t="n">
        <v>20</v>
      </c>
      <c r="H167" s="4" t="s">
        <v>154</v>
      </c>
      <c r="I167" s="11"/>
      <c r="J167" s="11" t="str">
        <f aca="false">IF(AND(ISNUMBER(G167),ISNUMBER(I167)),I167-G167,"")</f>
        <v/>
      </c>
      <c r="K167" s="10" t="n">
        <f aca="false">IF(H167="Done",1,IF(H167="Partial",0.5,IF(H167="Planned","",0)))</f>
        <v>0</v>
      </c>
      <c r="L167" s="17"/>
      <c r="M167" s="17" t="s">
        <v>142</v>
      </c>
      <c r="N167" s="17"/>
    </row>
    <row r="168" customFormat="false" ht="15" hidden="false" customHeight="false" outlineLevel="0" collapsed="false">
      <c r="A168" s="4" t="n">
        <v>167</v>
      </c>
      <c r="B168" s="15" t="n">
        <v>46259</v>
      </c>
      <c r="C168" s="4" t="s">
        <v>30</v>
      </c>
      <c r="D168" s="4" t="s">
        <v>156</v>
      </c>
      <c r="E168" s="17" t="s">
        <v>157</v>
      </c>
      <c r="F168" s="4" t="s">
        <v>121</v>
      </c>
      <c r="G168" s="11" t="n">
        <v>30</v>
      </c>
      <c r="H168" s="4" t="s">
        <v>126</v>
      </c>
      <c r="I168" s="11"/>
      <c r="J168" s="11" t="str">
        <f aca="false">IF(AND(ISNUMBER(G168),ISNUMBER(I168)),I168-G168,"")</f>
        <v/>
      </c>
      <c r="K168" s="10" t="n">
        <f aca="false">IF(H168="Done",1,IF(H168="Partial",0.5,IF(H168="Planned","",0)))</f>
        <v>0</v>
      </c>
      <c r="L168" s="17"/>
      <c r="M168" s="17" t="s">
        <v>147</v>
      </c>
      <c r="N168" s="17" t="s">
        <v>158</v>
      </c>
    </row>
    <row r="169" customFormat="false" ht="23.85" hidden="false" customHeight="false" outlineLevel="0" collapsed="false">
      <c r="A169" s="4" t="n">
        <v>168</v>
      </c>
      <c r="B169" s="15" t="n">
        <v>46259</v>
      </c>
      <c r="C169" s="4" t="s">
        <v>31</v>
      </c>
      <c r="D169" s="4" t="s">
        <v>119</v>
      </c>
      <c r="E169" s="17" t="s">
        <v>120</v>
      </c>
      <c r="F169" s="4" t="s">
        <v>130</v>
      </c>
      <c r="G169" s="11" t="n">
        <v>60</v>
      </c>
      <c r="H169" s="4" t="s">
        <v>154</v>
      </c>
      <c r="I169" s="11"/>
      <c r="J169" s="11" t="str">
        <f aca="false">IF(AND(ISNUMBER(G169),ISNUMBER(I169)),I169-G169,"")</f>
        <v/>
      </c>
      <c r="K169" s="10" t="n">
        <f aca="false">IF(H169="Done",1,IF(H169="Partial",0.5,IF(H169="Planned","",0)))</f>
        <v>0</v>
      </c>
      <c r="L169" s="17"/>
      <c r="M169" s="17" t="s">
        <v>146</v>
      </c>
      <c r="N169" s="17" t="s">
        <v>123</v>
      </c>
    </row>
    <row r="170" customFormat="false" ht="15" hidden="false" customHeight="false" outlineLevel="0" collapsed="false">
      <c r="A170" s="4" t="n">
        <v>169</v>
      </c>
      <c r="B170" s="15" t="n">
        <v>46260</v>
      </c>
      <c r="C170" s="4" t="s">
        <v>30</v>
      </c>
      <c r="D170" s="4" t="s">
        <v>156</v>
      </c>
      <c r="E170" s="17" t="s">
        <v>157</v>
      </c>
      <c r="F170" s="4" t="s">
        <v>118</v>
      </c>
      <c r="G170" s="11" t="n">
        <v>30</v>
      </c>
      <c r="H170" s="4" t="s">
        <v>154</v>
      </c>
      <c r="I170" s="11"/>
      <c r="J170" s="11" t="str">
        <f aca="false">IF(AND(ISNUMBER(G170),ISNUMBER(I170)),I170-G170,"")</f>
        <v/>
      </c>
      <c r="K170" s="10" t="n">
        <f aca="false">IF(H170="Done",1,IF(H170="Partial",0.5,IF(H170="Planned","",0)))</f>
        <v>0</v>
      </c>
      <c r="L170" s="17"/>
      <c r="M170" s="17" t="s">
        <v>142</v>
      </c>
      <c r="N170" s="17" t="s">
        <v>158</v>
      </c>
    </row>
    <row r="171" customFormat="false" ht="15" hidden="false" customHeight="false" outlineLevel="0" collapsed="false">
      <c r="A171" s="4" t="n">
        <v>170</v>
      </c>
      <c r="B171" s="15" t="n">
        <v>46260</v>
      </c>
      <c r="C171" s="4" t="s">
        <v>35</v>
      </c>
      <c r="D171" s="4" t="s">
        <v>148</v>
      </c>
      <c r="E171" s="17" t="s">
        <v>149</v>
      </c>
      <c r="F171" s="4" t="s">
        <v>130</v>
      </c>
      <c r="G171" s="11" t="n">
        <v>30</v>
      </c>
      <c r="H171" s="4" t="s">
        <v>126</v>
      </c>
      <c r="I171" s="11"/>
      <c r="J171" s="11" t="str">
        <f aca="false">IF(AND(ISNUMBER(G171),ISNUMBER(I171)),I171-G171,"")</f>
        <v/>
      </c>
      <c r="K171" s="10" t="n">
        <f aca="false">IF(H171="Done",1,IF(H171="Partial",0.5,IF(H171="Planned","",0)))</f>
        <v>0</v>
      </c>
      <c r="L171" s="17"/>
      <c r="M171" s="17" t="s">
        <v>155</v>
      </c>
      <c r="N171" s="17"/>
    </row>
    <row r="172" customFormat="false" ht="15" hidden="false" customHeight="false" outlineLevel="0" collapsed="false">
      <c r="A172" s="4" t="n">
        <v>171</v>
      </c>
      <c r="B172" s="15" t="n">
        <v>46260</v>
      </c>
      <c r="C172" s="4" t="s">
        <v>31</v>
      </c>
      <c r="D172" s="4" t="s">
        <v>159</v>
      </c>
      <c r="E172" s="17" t="s">
        <v>160</v>
      </c>
      <c r="F172" s="4" t="s">
        <v>130</v>
      </c>
      <c r="G172" s="11" t="n">
        <v>60</v>
      </c>
      <c r="H172" s="4" t="s">
        <v>126</v>
      </c>
      <c r="I172" s="11"/>
      <c r="J172" s="11" t="str">
        <f aca="false">IF(AND(ISNUMBER(G172),ISNUMBER(I172)),I172-G172,"")</f>
        <v/>
      </c>
      <c r="K172" s="10" t="n">
        <f aca="false">IF(H172="Done",1,IF(H172="Partial",0.5,IF(H172="Planned","",0)))</f>
        <v>0</v>
      </c>
      <c r="L172" s="17"/>
      <c r="M172" s="17" t="s">
        <v>146</v>
      </c>
      <c r="N172" s="17"/>
    </row>
    <row r="173" customFormat="false" ht="15" hidden="false" customHeight="false" outlineLevel="0" collapsed="false">
      <c r="A173" s="4" t="n">
        <v>172</v>
      </c>
      <c r="B173" s="15" t="n">
        <v>46260</v>
      </c>
      <c r="C173" s="4" t="s">
        <v>29</v>
      </c>
      <c r="D173" s="4" t="s">
        <v>116</v>
      </c>
      <c r="E173" s="17" t="s">
        <v>117</v>
      </c>
      <c r="F173" s="4" t="s">
        <v>130</v>
      </c>
      <c r="G173" s="11" t="n">
        <v>15</v>
      </c>
      <c r="H173" s="4" t="s">
        <v>55</v>
      </c>
      <c r="I173" s="11" t="n">
        <v>16</v>
      </c>
      <c r="J173" s="11" t="n">
        <f aca="false">IF(AND(ISNUMBER(G173),ISNUMBER(I173)),I173-G173,"")</f>
        <v>1</v>
      </c>
      <c r="K173" s="10" t="n">
        <f aca="false">IF(H173="Done",1,IF(H173="Partial",0.5,IF(H173="Planned","",0)))</f>
        <v>1</v>
      </c>
      <c r="L173" s="17"/>
      <c r="M173" s="17"/>
      <c r="N173" s="17"/>
    </row>
    <row r="174" customFormat="false" ht="23.85" hidden="false" customHeight="false" outlineLevel="0" collapsed="false">
      <c r="A174" s="4" t="n">
        <v>173</v>
      </c>
      <c r="B174" s="15" t="n">
        <v>46260</v>
      </c>
      <c r="C174" s="4" t="s">
        <v>31</v>
      </c>
      <c r="D174" s="4" t="s">
        <v>119</v>
      </c>
      <c r="E174" s="17" t="s">
        <v>120</v>
      </c>
      <c r="F174" s="4" t="s">
        <v>121</v>
      </c>
      <c r="G174" s="11" t="n">
        <v>60</v>
      </c>
      <c r="H174" s="4" t="s">
        <v>126</v>
      </c>
      <c r="I174" s="11"/>
      <c r="J174" s="11" t="str">
        <f aca="false">IF(AND(ISNUMBER(G174),ISNUMBER(I174)),I174-G174,"")</f>
        <v/>
      </c>
      <c r="K174" s="10" t="n">
        <f aca="false">IF(H174="Done",1,IF(H174="Partial",0.5,IF(H174="Planned","",0)))</f>
        <v>0</v>
      </c>
      <c r="L174" s="17"/>
      <c r="M174" s="17" t="s">
        <v>147</v>
      </c>
      <c r="N174" s="17" t="s">
        <v>123</v>
      </c>
    </row>
    <row r="175" customFormat="false" ht="15" hidden="false" customHeight="false" outlineLevel="0" collapsed="false">
      <c r="A175" s="4" t="n">
        <v>174</v>
      </c>
      <c r="B175" s="15" t="n">
        <v>46260</v>
      </c>
      <c r="C175" s="4" t="s">
        <v>32</v>
      </c>
      <c r="D175" s="4" t="s">
        <v>140</v>
      </c>
      <c r="E175" s="17" t="s">
        <v>141</v>
      </c>
      <c r="F175" s="4" t="s">
        <v>118</v>
      </c>
      <c r="G175" s="11" t="n">
        <v>45</v>
      </c>
      <c r="H175" s="4" t="s">
        <v>55</v>
      </c>
      <c r="I175" s="11" t="n">
        <v>59</v>
      </c>
      <c r="J175" s="11" t="n">
        <f aca="false">IF(AND(ISNUMBER(G175),ISNUMBER(I175)),I175-G175,"")</f>
        <v>14</v>
      </c>
      <c r="K175" s="10" t="n">
        <f aca="false">IF(H175="Done",1,IF(H175="Partial",0.5,IF(H175="Planned","",0)))</f>
        <v>1</v>
      </c>
      <c r="L175" s="17"/>
      <c r="M175" s="17"/>
      <c r="N175" s="17" t="s">
        <v>143</v>
      </c>
    </row>
    <row r="176" customFormat="false" ht="15" hidden="false" customHeight="false" outlineLevel="0" collapsed="false">
      <c r="A176" s="4" t="n">
        <v>175</v>
      </c>
      <c r="B176" s="15" t="n">
        <v>46261</v>
      </c>
      <c r="C176" s="4" t="s">
        <v>29</v>
      </c>
      <c r="D176" s="4" t="s">
        <v>116</v>
      </c>
      <c r="E176" s="17" t="s">
        <v>117</v>
      </c>
      <c r="F176" s="4" t="s">
        <v>130</v>
      </c>
      <c r="G176" s="11" t="n">
        <v>15</v>
      </c>
      <c r="H176" s="4" t="s">
        <v>55</v>
      </c>
      <c r="I176" s="11" t="n">
        <v>20</v>
      </c>
      <c r="J176" s="11" t="n">
        <f aca="false">IF(AND(ISNUMBER(G176),ISNUMBER(I176)),I176-G176,"")</f>
        <v>5</v>
      </c>
      <c r="K176" s="10" t="n">
        <f aca="false">IF(H176="Done",1,IF(H176="Partial",0.5,IF(H176="Planned","",0)))</f>
        <v>1</v>
      </c>
      <c r="L176" s="17"/>
      <c r="M176" s="17"/>
      <c r="N176" s="17"/>
    </row>
    <row r="177" customFormat="false" ht="23.85" hidden="false" customHeight="false" outlineLevel="0" collapsed="false">
      <c r="A177" s="4" t="n">
        <v>176</v>
      </c>
      <c r="B177" s="15" t="n">
        <v>46261</v>
      </c>
      <c r="C177" s="4" t="s">
        <v>31</v>
      </c>
      <c r="D177" s="4" t="s">
        <v>119</v>
      </c>
      <c r="E177" s="17" t="s">
        <v>120</v>
      </c>
      <c r="F177" s="4" t="s">
        <v>130</v>
      </c>
      <c r="G177" s="11" t="n">
        <v>60</v>
      </c>
      <c r="H177" s="4" t="s">
        <v>154</v>
      </c>
      <c r="I177" s="11"/>
      <c r="J177" s="11" t="str">
        <f aca="false">IF(AND(ISNUMBER(G177),ISNUMBER(I177)),I177-G177,"")</f>
        <v/>
      </c>
      <c r="K177" s="10" t="n">
        <f aca="false">IF(H177="Done",1,IF(H177="Partial",0.5,IF(H177="Planned","",0)))</f>
        <v>0</v>
      </c>
      <c r="L177" s="17"/>
      <c r="M177" s="17" t="s">
        <v>153</v>
      </c>
      <c r="N177" s="17" t="s">
        <v>123</v>
      </c>
    </row>
    <row r="178" customFormat="false" ht="15" hidden="false" customHeight="false" outlineLevel="0" collapsed="false">
      <c r="A178" s="4" t="n">
        <v>177</v>
      </c>
      <c r="B178" s="15" t="n">
        <v>46262</v>
      </c>
      <c r="C178" s="4" t="s">
        <v>34</v>
      </c>
      <c r="D178" s="4" t="s">
        <v>124</v>
      </c>
      <c r="E178" s="17" t="s">
        <v>125</v>
      </c>
      <c r="F178" s="4" t="s">
        <v>130</v>
      </c>
      <c r="G178" s="11" t="n">
        <v>20</v>
      </c>
      <c r="H178" s="4" t="s">
        <v>55</v>
      </c>
      <c r="I178" s="11" t="n">
        <v>22</v>
      </c>
      <c r="J178" s="11" t="n">
        <f aca="false">IF(AND(ISNUMBER(G178),ISNUMBER(I178)),I178-G178,"")</f>
        <v>2</v>
      </c>
      <c r="K178" s="10" t="n">
        <f aca="false">IF(H178="Done",1,IF(H178="Partial",0.5,IF(H178="Planned","",0)))</f>
        <v>1</v>
      </c>
      <c r="L178" s="17"/>
      <c r="M178" s="17"/>
      <c r="N178" s="17"/>
    </row>
    <row r="179" customFormat="false" ht="23.85" hidden="false" customHeight="false" outlineLevel="0" collapsed="false">
      <c r="A179" s="4" t="n">
        <v>178</v>
      </c>
      <c r="B179" s="15" t="n">
        <v>46262</v>
      </c>
      <c r="C179" s="4" t="s">
        <v>31</v>
      </c>
      <c r="D179" s="4" t="s">
        <v>119</v>
      </c>
      <c r="E179" s="17" t="s">
        <v>120</v>
      </c>
      <c r="F179" s="4" t="s">
        <v>130</v>
      </c>
      <c r="G179" s="11" t="n">
        <v>60</v>
      </c>
      <c r="H179" s="4" t="s">
        <v>55</v>
      </c>
      <c r="I179" s="11" t="n">
        <v>68</v>
      </c>
      <c r="J179" s="11" t="n">
        <f aca="false">IF(AND(ISNUMBER(G179),ISNUMBER(I179)),I179-G179,"")</f>
        <v>8</v>
      </c>
      <c r="K179" s="10" t="n">
        <f aca="false">IF(H179="Done",1,IF(H179="Partial",0.5,IF(H179="Planned","",0)))</f>
        <v>1</v>
      </c>
      <c r="L179" s="17"/>
      <c r="M179" s="17"/>
      <c r="N179" s="17" t="s">
        <v>123</v>
      </c>
    </row>
    <row r="180" customFormat="false" ht="23.85" hidden="false" customHeight="false" outlineLevel="0" collapsed="false">
      <c r="A180" s="4" t="n">
        <v>179</v>
      </c>
      <c r="B180" s="15" t="n">
        <v>46263</v>
      </c>
      <c r="C180" s="4" t="s">
        <v>31</v>
      </c>
      <c r="D180" s="4" t="s">
        <v>119</v>
      </c>
      <c r="E180" s="17" t="s">
        <v>120</v>
      </c>
      <c r="F180" s="4" t="s">
        <v>118</v>
      </c>
      <c r="G180" s="11" t="n">
        <v>60</v>
      </c>
      <c r="H180" s="4" t="s">
        <v>55</v>
      </c>
      <c r="I180" s="11" t="n">
        <v>68</v>
      </c>
      <c r="J180" s="11" t="n">
        <f aca="false">IF(AND(ISNUMBER(G180),ISNUMBER(I180)),I180-G180,"")</f>
        <v>8</v>
      </c>
      <c r="K180" s="10" t="n">
        <f aca="false">IF(H180="Done",1,IF(H180="Partial",0.5,IF(H180="Planned","",0)))</f>
        <v>1</v>
      </c>
      <c r="L180" s="17" t="s">
        <v>162</v>
      </c>
      <c r="M180" s="17"/>
      <c r="N180" s="17" t="s">
        <v>123</v>
      </c>
    </row>
    <row r="181" customFormat="false" ht="15" hidden="false" customHeight="false" outlineLevel="0" collapsed="false">
      <c r="A181" s="4" t="n">
        <v>180</v>
      </c>
      <c r="B181" s="15" t="n">
        <v>46263</v>
      </c>
      <c r="C181" s="4" t="s">
        <v>30</v>
      </c>
      <c r="D181" s="4" t="s">
        <v>128</v>
      </c>
      <c r="E181" s="17" t="s">
        <v>129</v>
      </c>
      <c r="F181" s="4" t="s">
        <v>130</v>
      </c>
      <c r="G181" s="11" t="n">
        <v>40</v>
      </c>
      <c r="H181" s="4" t="s">
        <v>126</v>
      </c>
      <c r="I181" s="11"/>
      <c r="J181" s="11" t="str">
        <f aca="false">IF(AND(ISNUMBER(G181),ISNUMBER(I181)),I181-G181,"")</f>
        <v/>
      </c>
      <c r="K181" s="10" t="n">
        <f aca="false">IF(H181="Done",1,IF(H181="Partial",0.5,IF(H181="Planned","",0)))</f>
        <v>0</v>
      </c>
      <c r="L181" s="17"/>
      <c r="M181" s="17" t="s">
        <v>155</v>
      </c>
      <c r="N181" s="17"/>
    </row>
    <row r="182" customFormat="false" ht="15" hidden="false" customHeight="false" outlineLevel="0" collapsed="false">
      <c r="A182" s="4" t="n">
        <v>181</v>
      </c>
      <c r="B182" s="15" t="n">
        <v>46263</v>
      </c>
      <c r="C182" s="4" t="s">
        <v>31</v>
      </c>
      <c r="D182" s="4" t="s">
        <v>159</v>
      </c>
      <c r="E182" s="17" t="s">
        <v>160</v>
      </c>
      <c r="F182" s="4" t="s">
        <v>130</v>
      </c>
      <c r="G182" s="11" t="n">
        <v>60</v>
      </c>
      <c r="H182" s="4" t="s">
        <v>154</v>
      </c>
      <c r="I182" s="11"/>
      <c r="J182" s="11" t="str">
        <f aca="false">IF(AND(ISNUMBER(G182),ISNUMBER(I182)),I182-G182,"")</f>
        <v/>
      </c>
      <c r="K182" s="10" t="n">
        <f aca="false">IF(H182="Done",1,IF(H182="Partial",0.5,IF(H182="Planned","",0)))</f>
        <v>0</v>
      </c>
      <c r="L182" s="17"/>
      <c r="M182" s="17" t="s">
        <v>146</v>
      </c>
      <c r="N182" s="17"/>
    </row>
    <row r="183" customFormat="false" ht="23.85" hidden="false" customHeight="false" outlineLevel="0" collapsed="false">
      <c r="A183" s="4" t="n">
        <v>182</v>
      </c>
      <c r="B183" s="15" t="n">
        <v>46265</v>
      </c>
      <c r="C183" s="4" t="s">
        <v>31</v>
      </c>
      <c r="D183" s="4" t="s">
        <v>136</v>
      </c>
      <c r="E183" s="17" t="s">
        <v>137</v>
      </c>
      <c r="F183" s="4" t="s">
        <v>130</v>
      </c>
      <c r="G183" s="11" t="n">
        <v>120</v>
      </c>
      <c r="H183" s="4" t="s">
        <v>154</v>
      </c>
      <c r="I183" s="11"/>
      <c r="J183" s="11" t="str">
        <f aca="false">IF(AND(ISNUMBER(G183),ISNUMBER(I183)),I183-G183,"")</f>
        <v/>
      </c>
      <c r="K183" s="10" t="n">
        <f aca="false">IF(H183="Done",1,IF(H183="Partial",0.5,IF(H183="Planned","",0)))</f>
        <v>0</v>
      </c>
      <c r="L183" s="17"/>
      <c r="M183" s="17" t="s">
        <v>153</v>
      </c>
      <c r="N183" s="17" t="s">
        <v>123</v>
      </c>
    </row>
    <row r="184" customFormat="false" ht="15" hidden="false" customHeight="false" outlineLevel="0" collapsed="false">
      <c r="A184" s="4" t="n">
        <v>183</v>
      </c>
      <c r="B184" s="15" t="n">
        <v>46265</v>
      </c>
      <c r="C184" s="4" t="s">
        <v>32</v>
      </c>
      <c r="D184" s="4" t="s">
        <v>140</v>
      </c>
      <c r="E184" s="17" t="s">
        <v>141</v>
      </c>
      <c r="F184" s="4" t="s">
        <v>118</v>
      </c>
      <c r="G184" s="11" t="n">
        <v>45</v>
      </c>
      <c r="H184" s="4" t="s">
        <v>126</v>
      </c>
      <c r="I184" s="11"/>
      <c r="J184" s="11" t="str">
        <f aca="false">IF(AND(ISNUMBER(G184),ISNUMBER(I184)),I184-G184,"")</f>
        <v/>
      </c>
      <c r="K184" s="10" t="n">
        <f aca="false">IF(H184="Done",1,IF(H184="Partial",0.5,IF(H184="Planned","",0)))</f>
        <v>0</v>
      </c>
      <c r="L184" s="17"/>
      <c r="M184" s="17" t="s">
        <v>153</v>
      </c>
      <c r="N184" s="17" t="s">
        <v>143</v>
      </c>
    </row>
    <row r="185" customFormat="false" ht="15" hidden="false" customHeight="false" outlineLevel="0" collapsed="false">
      <c r="A185" s="4" t="n">
        <v>184</v>
      </c>
      <c r="B185" s="15" t="n">
        <v>46265</v>
      </c>
      <c r="C185" s="4" t="s">
        <v>29</v>
      </c>
      <c r="D185" s="4" t="s">
        <v>131</v>
      </c>
      <c r="E185" s="17" t="s">
        <v>132</v>
      </c>
      <c r="F185" s="4" t="s">
        <v>130</v>
      </c>
      <c r="G185" s="11" t="n">
        <v>20</v>
      </c>
      <c r="H185" s="4" t="s">
        <v>55</v>
      </c>
      <c r="I185" s="11" t="n">
        <v>20</v>
      </c>
      <c r="J185" s="11" t="n">
        <f aca="false">IF(AND(ISNUMBER(G185),ISNUMBER(I185)),I185-G185,"")</f>
        <v>0</v>
      </c>
      <c r="K185" s="10" t="n">
        <f aca="false">IF(H185="Done",1,IF(H185="Partial",0.5,IF(H185="Planned","",0)))</f>
        <v>1</v>
      </c>
      <c r="L185" s="17"/>
      <c r="M185" s="17"/>
      <c r="N185" s="17" t="s">
        <v>133</v>
      </c>
    </row>
    <row r="186" customFormat="false" ht="15" hidden="false" customHeight="false" outlineLevel="0" collapsed="false">
      <c r="A186" s="4" t="n">
        <v>185</v>
      </c>
      <c r="B186" s="15" t="n">
        <v>46265</v>
      </c>
      <c r="C186" s="4" t="s">
        <v>29</v>
      </c>
      <c r="D186" s="4" t="s">
        <v>116</v>
      </c>
      <c r="E186" s="17" t="s">
        <v>117</v>
      </c>
      <c r="F186" s="4" t="s">
        <v>118</v>
      </c>
      <c r="G186" s="11" t="n">
        <v>15</v>
      </c>
      <c r="H186" s="4" t="s">
        <v>55</v>
      </c>
      <c r="I186" s="11" t="n">
        <v>13</v>
      </c>
      <c r="J186" s="11" t="n">
        <f aca="false">IF(AND(ISNUMBER(G186),ISNUMBER(I186)),I186-G186,"")</f>
        <v>-2</v>
      </c>
      <c r="K186" s="10" t="n">
        <f aca="false">IF(H186="Done",1,IF(H186="Partial",0.5,IF(H186="Planned","",0)))</f>
        <v>1</v>
      </c>
      <c r="L186" s="17"/>
      <c r="M186" s="17"/>
      <c r="N186" s="17"/>
    </row>
    <row r="187" customFormat="false" ht="15" hidden="false" customHeight="false" outlineLevel="0" collapsed="false">
      <c r="A187" s="4" t="n">
        <v>186</v>
      </c>
      <c r="B187" s="15" t="n">
        <v>46265</v>
      </c>
      <c r="C187" s="4" t="s">
        <v>31</v>
      </c>
      <c r="D187" s="4" t="s">
        <v>134</v>
      </c>
      <c r="E187" s="17" t="s">
        <v>135</v>
      </c>
      <c r="F187" s="4" t="s">
        <v>130</v>
      </c>
      <c r="G187" s="11" t="n">
        <v>45</v>
      </c>
      <c r="H187" s="4" t="s">
        <v>126</v>
      </c>
      <c r="I187" s="11"/>
      <c r="J187" s="11" t="str">
        <f aca="false">IF(AND(ISNUMBER(G187),ISNUMBER(I187)),I187-G187,"")</f>
        <v/>
      </c>
      <c r="K187" s="10" t="n">
        <f aca="false">IF(H187="Done",1,IF(H187="Partial",0.5,IF(H187="Planned","",0)))</f>
        <v>0</v>
      </c>
      <c r="L187" s="17"/>
      <c r="M187" s="17" t="s">
        <v>127</v>
      </c>
      <c r="N187" s="17"/>
    </row>
    <row r="188" customFormat="false" ht="15" hidden="false" customHeight="false" outlineLevel="0" collapsed="false">
      <c r="A188" s="4" t="n">
        <v>187</v>
      </c>
      <c r="B188" s="15" t="n">
        <v>46265</v>
      </c>
      <c r="C188" s="4" t="s">
        <v>30</v>
      </c>
      <c r="D188" s="4" t="s">
        <v>156</v>
      </c>
      <c r="E188" s="17" t="s">
        <v>157</v>
      </c>
      <c r="F188" s="4" t="s">
        <v>118</v>
      </c>
      <c r="G188" s="11" t="n">
        <v>30</v>
      </c>
      <c r="H188" s="4" t="s">
        <v>55</v>
      </c>
      <c r="I188" s="11" t="n">
        <v>24</v>
      </c>
      <c r="J188" s="11" t="n">
        <f aca="false">IF(AND(ISNUMBER(G188),ISNUMBER(I188)),I188-G188,"")</f>
        <v>-6</v>
      </c>
      <c r="K188" s="10" t="n">
        <f aca="false">IF(H188="Done",1,IF(H188="Partial",0.5,IF(H188="Planned","",0)))</f>
        <v>1</v>
      </c>
      <c r="L188" s="17"/>
      <c r="M188" s="17"/>
      <c r="N188" s="17" t="s">
        <v>158</v>
      </c>
    </row>
    <row r="189" customFormat="false" ht="23.85" hidden="false" customHeight="false" outlineLevel="0" collapsed="false">
      <c r="A189" s="4" t="n">
        <v>188</v>
      </c>
      <c r="B189" s="15" t="n">
        <v>46266</v>
      </c>
      <c r="C189" s="4" t="s">
        <v>31</v>
      </c>
      <c r="D189" s="4" t="s">
        <v>119</v>
      </c>
      <c r="E189" s="17" t="s">
        <v>120</v>
      </c>
      <c r="F189" s="4" t="s">
        <v>118</v>
      </c>
      <c r="G189" s="11" t="n">
        <v>60</v>
      </c>
      <c r="H189" s="4" t="s">
        <v>154</v>
      </c>
      <c r="I189" s="11"/>
      <c r="J189" s="11" t="str">
        <f aca="false">IF(AND(ISNUMBER(G189),ISNUMBER(I189)),I189-G189,"")</f>
        <v/>
      </c>
      <c r="K189" s="10" t="n">
        <f aca="false">IF(H189="Done",1,IF(H189="Partial",0.5,IF(H189="Planned","",0)))</f>
        <v>0</v>
      </c>
      <c r="L189" s="17"/>
      <c r="M189" s="17" t="s">
        <v>155</v>
      </c>
      <c r="N189" s="17" t="s">
        <v>123</v>
      </c>
    </row>
    <row r="190" customFormat="false" ht="15" hidden="false" customHeight="false" outlineLevel="0" collapsed="false">
      <c r="A190" s="4" t="n">
        <v>189</v>
      </c>
      <c r="B190" s="15" t="n">
        <v>46266</v>
      </c>
      <c r="C190" s="4" t="s">
        <v>33</v>
      </c>
      <c r="D190" s="4" t="s">
        <v>151</v>
      </c>
      <c r="E190" s="17" t="s">
        <v>152</v>
      </c>
      <c r="F190" s="4" t="s">
        <v>118</v>
      </c>
      <c r="G190" s="11" t="n">
        <v>30</v>
      </c>
      <c r="H190" s="4" t="s">
        <v>55</v>
      </c>
      <c r="I190" s="11" t="n">
        <v>21</v>
      </c>
      <c r="J190" s="11" t="n">
        <f aca="false">IF(AND(ISNUMBER(G190),ISNUMBER(I190)),I190-G190,"")</f>
        <v>-9</v>
      </c>
      <c r="K190" s="10" t="n">
        <f aca="false">IF(H190="Done",1,IF(H190="Partial",0.5,IF(H190="Planned","",0)))</f>
        <v>1</v>
      </c>
      <c r="L190" s="17"/>
      <c r="M190" s="17"/>
      <c r="N190" s="17"/>
    </row>
    <row r="191" customFormat="false" ht="15" hidden="false" customHeight="false" outlineLevel="0" collapsed="false">
      <c r="A191" s="4" t="n">
        <v>190</v>
      </c>
      <c r="B191" s="15" t="n">
        <v>46267</v>
      </c>
      <c r="C191" s="4" t="s">
        <v>31</v>
      </c>
      <c r="D191" s="4" t="s">
        <v>134</v>
      </c>
      <c r="E191" s="17" t="s">
        <v>135</v>
      </c>
      <c r="F191" s="4" t="s">
        <v>121</v>
      </c>
      <c r="G191" s="11" t="n">
        <v>45</v>
      </c>
      <c r="H191" s="4" t="s">
        <v>126</v>
      </c>
      <c r="I191" s="11"/>
      <c r="J191" s="11" t="str">
        <f aca="false">IF(AND(ISNUMBER(G191),ISNUMBER(I191)),I191-G191,"")</f>
        <v/>
      </c>
      <c r="K191" s="10" t="n">
        <f aca="false">IF(H191="Done",1,IF(H191="Partial",0.5,IF(H191="Planned","",0)))</f>
        <v>0</v>
      </c>
      <c r="L191" s="17"/>
      <c r="M191" s="17" t="s">
        <v>163</v>
      </c>
      <c r="N191" s="17"/>
    </row>
    <row r="192" customFormat="false" ht="15" hidden="false" customHeight="false" outlineLevel="0" collapsed="false">
      <c r="A192" s="4" t="n">
        <v>191</v>
      </c>
      <c r="B192" s="15" t="n">
        <v>46267</v>
      </c>
      <c r="C192" s="4" t="s">
        <v>35</v>
      </c>
      <c r="D192" s="4" t="s">
        <v>148</v>
      </c>
      <c r="E192" s="17" t="s">
        <v>149</v>
      </c>
      <c r="F192" s="4" t="s">
        <v>130</v>
      </c>
      <c r="G192" s="11" t="n">
        <v>30</v>
      </c>
      <c r="H192" s="4" t="s">
        <v>154</v>
      </c>
      <c r="I192" s="11"/>
      <c r="J192" s="11" t="str">
        <f aca="false">IF(AND(ISNUMBER(G192),ISNUMBER(I192)),I192-G192,"")</f>
        <v/>
      </c>
      <c r="K192" s="10" t="n">
        <f aca="false">IF(H192="Done",1,IF(H192="Partial",0.5,IF(H192="Planned","",0)))</f>
        <v>0</v>
      </c>
      <c r="L192" s="17"/>
      <c r="M192" s="17" t="s">
        <v>163</v>
      </c>
      <c r="N192" s="17"/>
    </row>
    <row r="193" customFormat="false" ht="23.85" hidden="false" customHeight="false" outlineLevel="0" collapsed="false">
      <c r="A193" s="4" t="n">
        <v>192</v>
      </c>
      <c r="B193" s="15" t="n">
        <v>46267</v>
      </c>
      <c r="C193" s="4" t="s">
        <v>31</v>
      </c>
      <c r="D193" s="4" t="s">
        <v>119</v>
      </c>
      <c r="E193" s="17" t="s">
        <v>120</v>
      </c>
      <c r="F193" s="4" t="s">
        <v>121</v>
      </c>
      <c r="G193" s="11" t="n">
        <v>60</v>
      </c>
      <c r="H193" s="4" t="s">
        <v>55</v>
      </c>
      <c r="I193" s="11" t="n">
        <v>69</v>
      </c>
      <c r="J193" s="11" t="n">
        <f aca="false">IF(AND(ISNUMBER(G193),ISNUMBER(I193)),I193-G193,"")</f>
        <v>9</v>
      </c>
      <c r="K193" s="10" t="n">
        <f aca="false">IF(H193="Done",1,IF(H193="Partial",0.5,IF(H193="Planned","",0)))</f>
        <v>1</v>
      </c>
      <c r="L193" s="17" t="s">
        <v>122</v>
      </c>
      <c r="M193" s="17"/>
      <c r="N193" s="17" t="s">
        <v>123</v>
      </c>
    </row>
    <row r="194" customFormat="false" ht="23.85" hidden="false" customHeight="false" outlineLevel="0" collapsed="false">
      <c r="A194" s="4" t="n">
        <v>193</v>
      </c>
      <c r="B194" s="15" t="n">
        <v>46268</v>
      </c>
      <c r="C194" s="4" t="s">
        <v>31</v>
      </c>
      <c r="D194" s="4" t="s">
        <v>119</v>
      </c>
      <c r="E194" s="17" t="s">
        <v>120</v>
      </c>
      <c r="F194" s="4" t="s">
        <v>118</v>
      </c>
      <c r="G194" s="11" t="n">
        <v>60</v>
      </c>
      <c r="H194" s="4" t="s">
        <v>150</v>
      </c>
      <c r="I194" s="11"/>
      <c r="J194" s="11" t="str">
        <f aca="false">IF(AND(ISNUMBER(G194),ISNUMBER(I194)),I194-G194,"")</f>
        <v/>
      </c>
      <c r="K194" s="10" t="n">
        <f aca="false">IF(H194="Done",1,IF(H194="Partial",0.5,IF(H194="Planned","",0)))</f>
        <v>0</v>
      </c>
      <c r="L194" s="17"/>
      <c r="M194" s="17" t="s">
        <v>127</v>
      </c>
      <c r="N194" s="17" t="s">
        <v>123</v>
      </c>
    </row>
    <row r="195" customFormat="false" ht="15" hidden="false" customHeight="false" outlineLevel="0" collapsed="false">
      <c r="A195" s="4" t="n">
        <v>194</v>
      </c>
      <c r="B195" s="15" t="n">
        <v>46268</v>
      </c>
      <c r="C195" s="4" t="s">
        <v>31</v>
      </c>
      <c r="D195" s="4" t="s">
        <v>159</v>
      </c>
      <c r="E195" s="17" t="s">
        <v>160</v>
      </c>
      <c r="F195" s="4" t="s">
        <v>130</v>
      </c>
      <c r="G195" s="11" t="n">
        <v>60</v>
      </c>
      <c r="H195" s="4" t="s">
        <v>126</v>
      </c>
      <c r="I195" s="11"/>
      <c r="J195" s="11" t="str">
        <f aca="false">IF(AND(ISNUMBER(G195),ISNUMBER(I195)),I195-G195,"")</f>
        <v/>
      </c>
      <c r="K195" s="10" t="n">
        <f aca="false">IF(H195="Done",1,IF(H195="Partial",0.5,IF(H195="Planned","",0)))</f>
        <v>0</v>
      </c>
      <c r="L195" s="17"/>
      <c r="M195" s="17" t="s">
        <v>142</v>
      </c>
      <c r="N195" s="17"/>
    </row>
    <row r="196" customFormat="false" ht="15" hidden="false" customHeight="false" outlineLevel="0" collapsed="false">
      <c r="A196" s="4" t="n">
        <v>195</v>
      </c>
      <c r="B196" s="15" t="n">
        <v>46268</v>
      </c>
      <c r="C196" s="4" t="s">
        <v>33</v>
      </c>
      <c r="D196" s="4" t="s">
        <v>151</v>
      </c>
      <c r="E196" s="17" t="s">
        <v>152</v>
      </c>
      <c r="F196" s="4" t="s">
        <v>118</v>
      </c>
      <c r="G196" s="11" t="n">
        <v>30</v>
      </c>
      <c r="H196" s="4" t="s">
        <v>55</v>
      </c>
      <c r="I196" s="11" t="n">
        <v>30</v>
      </c>
      <c r="J196" s="11" t="n">
        <f aca="false">IF(AND(ISNUMBER(G196),ISNUMBER(I196)),I196-G196,"")</f>
        <v>0</v>
      </c>
      <c r="K196" s="10" t="n">
        <f aca="false">IF(H196="Done",1,IF(H196="Partial",0.5,IF(H196="Planned","",0)))</f>
        <v>1</v>
      </c>
      <c r="L196" s="17"/>
      <c r="M196" s="17"/>
      <c r="N196" s="17"/>
    </row>
    <row r="197" customFormat="false" ht="15" hidden="false" customHeight="false" outlineLevel="0" collapsed="false">
      <c r="A197" s="4" t="n">
        <v>196</v>
      </c>
      <c r="B197" s="15" t="n">
        <v>46268</v>
      </c>
      <c r="C197" s="4" t="s">
        <v>32</v>
      </c>
      <c r="D197" s="4" t="s">
        <v>140</v>
      </c>
      <c r="E197" s="17" t="s">
        <v>141</v>
      </c>
      <c r="F197" s="4" t="s">
        <v>130</v>
      </c>
      <c r="G197" s="11" t="n">
        <v>45</v>
      </c>
      <c r="H197" s="4" t="s">
        <v>126</v>
      </c>
      <c r="I197" s="11"/>
      <c r="J197" s="11" t="str">
        <f aca="false">IF(AND(ISNUMBER(G197),ISNUMBER(I197)),I197-G197,"")</f>
        <v/>
      </c>
      <c r="K197" s="10" t="n">
        <f aca="false">IF(H197="Done",1,IF(H197="Partial",0.5,IF(H197="Planned","",0)))</f>
        <v>0</v>
      </c>
      <c r="L197" s="17"/>
      <c r="M197" s="17" t="s">
        <v>146</v>
      </c>
      <c r="N197" s="17" t="s">
        <v>143</v>
      </c>
    </row>
    <row r="198" customFormat="false" ht="23.85" hidden="false" customHeight="false" outlineLevel="0" collapsed="false">
      <c r="A198" s="4" t="n">
        <v>197</v>
      </c>
      <c r="B198" s="15" t="n">
        <v>46268</v>
      </c>
      <c r="C198" s="4" t="s">
        <v>31</v>
      </c>
      <c r="D198" s="4" t="s">
        <v>136</v>
      </c>
      <c r="E198" s="17" t="s">
        <v>137</v>
      </c>
      <c r="F198" s="4" t="s">
        <v>130</v>
      </c>
      <c r="G198" s="11" t="n">
        <v>120</v>
      </c>
      <c r="H198" s="4" t="s">
        <v>154</v>
      </c>
      <c r="I198" s="11"/>
      <c r="J198" s="11" t="str">
        <f aca="false">IF(AND(ISNUMBER(G198),ISNUMBER(I198)),I198-G198,"")</f>
        <v/>
      </c>
      <c r="K198" s="10" t="n">
        <f aca="false">IF(H198="Done",1,IF(H198="Partial",0.5,IF(H198="Planned","",0)))</f>
        <v>0</v>
      </c>
      <c r="L198" s="17"/>
      <c r="M198" s="17" t="s">
        <v>146</v>
      </c>
      <c r="N198" s="17" t="s">
        <v>123</v>
      </c>
    </row>
    <row r="199" customFormat="false" ht="15" hidden="false" customHeight="false" outlineLevel="0" collapsed="false">
      <c r="A199" s="4" t="n">
        <v>198</v>
      </c>
      <c r="B199" s="15" t="n">
        <v>46268</v>
      </c>
      <c r="C199" s="4" t="s">
        <v>32</v>
      </c>
      <c r="D199" s="4" t="s">
        <v>144</v>
      </c>
      <c r="E199" s="17" t="s">
        <v>145</v>
      </c>
      <c r="F199" s="4" t="s">
        <v>118</v>
      </c>
      <c r="G199" s="11" t="n">
        <v>60</v>
      </c>
      <c r="H199" s="4" t="s">
        <v>126</v>
      </c>
      <c r="I199" s="11"/>
      <c r="J199" s="11" t="str">
        <f aca="false">IF(AND(ISNUMBER(G199),ISNUMBER(I199)),I199-G199,"")</f>
        <v/>
      </c>
      <c r="K199" s="10" t="n">
        <f aca="false">IF(H199="Done",1,IF(H199="Partial",0.5,IF(H199="Planned","",0)))</f>
        <v>0</v>
      </c>
      <c r="L199" s="17"/>
      <c r="M199" s="17" t="s">
        <v>146</v>
      </c>
      <c r="N199" s="17"/>
    </row>
    <row r="200" customFormat="false" ht="23.85" hidden="false" customHeight="false" outlineLevel="0" collapsed="false">
      <c r="A200" s="4" t="n">
        <v>199</v>
      </c>
      <c r="B200" s="15" t="n">
        <v>46269</v>
      </c>
      <c r="C200" s="4" t="s">
        <v>31</v>
      </c>
      <c r="D200" s="4" t="s">
        <v>119</v>
      </c>
      <c r="E200" s="17" t="s">
        <v>120</v>
      </c>
      <c r="F200" s="4" t="s">
        <v>118</v>
      </c>
      <c r="G200" s="11" t="n">
        <v>60</v>
      </c>
      <c r="H200" s="4" t="s">
        <v>55</v>
      </c>
      <c r="I200" s="11" t="n">
        <v>52</v>
      </c>
      <c r="J200" s="11" t="n">
        <f aca="false">IF(AND(ISNUMBER(G200),ISNUMBER(I200)),I200-G200,"")</f>
        <v>-8</v>
      </c>
      <c r="K200" s="10" t="n">
        <f aca="false">IF(H200="Done",1,IF(H200="Partial",0.5,IF(H200="Planned","",0)))</f>
        <v>1</v>
      </c>
      <c r="L200" s="17" t="s">
        <v>164</v>
      </c>
      <c r="M200" s="17"/>
      <c r="N200" s="17" t="s">
        <v>123</v>
      </c>
    </row>
    <row r="201" customFormat="false" ht="23.85" hidden="false" customHeight="false" outlineLevel="0" collapsed="false">
      <c r="A201" s="4" t="n">
        <v>200</v>
      </c>
      <c r="B201" s="15" t="n">
        <v>46269</v>
      </c>
      <c r="C201" s="4" t="s">
        <v>31</v>
      </c>
      <c r="D201" s="4" t="s">
        <v>136</v>
      </c>
      <c r="E201" s="17" t="s">
        <v>137</v>
      </c>
      <c r="F201" s="4" t="s">
        <v>121</v>
      </c>
      <c r="G201" s="11" t="n">
        <v>120</v>
      </c>
      <c r="H201" s="4" t="s">
        <v>126</v>
      </c>
      <c r="I201" s="11"/>
      <c r="J201" s="11" t="str">
        <f aca="false">IF(AND(ISNUMBER(G201),ISNUMBER(I201)),I201-G201,"")</f>
        <v/>
      </c>
      <c r="K201" s="10" t="n">
        <f aca="false">IF(H201="Done",1,IF(H201="Partial",0.5,IF(H201="Planned","",0)))</f>
        <v>0</v>
      </c>
      <c r="L201" s="17"/>
      <c r="M201" s="17" t="s">
        <v>153</v>
      </c>
      <c r="N201" s="17" t="s">
        <v>123</v>
      </c>
    </row>
    <row r="202" customFormat="false" ht="15" hidden="false" customHeight="false" outlineLevel="0" collapsed="false">
      <c r="A202" s="4" t="n">
        <v>201</v>
      </c>
      <c r="B202" s="15" t="n">
        <v>46269</v>
      </c>
      <c r="C202" s="4" t="s">
        <v>34</v>
      </c>
      <c r="D202" s="4" t="s">
        <v>124</v>
      </c>
      <c r="E202" s="17" t="s">
        <v>125</v>
      </c>
      <c r="F202" s="4" t="s">
        <v>121</v>
      </c>
      <c r="G202" s="11" t="n">
        <v>20</v>
      </c>
      <c r="H202" s="4" t="s">
        <v>55</v>
      </c>
      <c r="I202" s="11" t="n">
        <v>15</v>
      </c>
      <c r="J202" s="11" t="n">
        <f aca="false">IF(AND(ISNUMBER(G202),ISNUMBER(I202)),I202-G202,"")</f>
        <v>-5</v>
      </c>
      <c r="K202" s="10" t="n">
        <f aca="false">IF(H202="Done",1,IF(H202="Partial",0.5,IF(H202="Planned","",0)))</f>
        <v>1</v>
      </c>
      <c r="L202" s="17"/>
      <c r="M202" s="17"/>
      <c r="N202" s="17"/>
    </row>
    <row r="203" customFormat="false" ht="15" hidden="false" customHeight="false" outlineLevel="0" collapsed="false">
      <c r="A203" s="4" t="n">
        <v>202</v>
      </c>
      <c r="B203" s="15" t="n">
        <v>46269</v>
      </c>
      <c r="C203" s="4" t="s">
        <v>29</v>
      </c>
      <c r="D203" s="4" t="s">
        <v>131</v>
      </c>
      <c r="E203" s="17" t="s">
        <v>132</v>
      </c>
      <c r="F203" s="4" t="s">
        <v>130</v>
      </c>
      <c r="G203" s="11" t="n">
        <v>20</v>
      </c>
      <c r="H203" s="4" t="s">
        <v>55</v>
      </c>
      <c r="I203" s="11" t="n">
        <v>20</v>
      </c>
      <c r="J203" s="11" t="n">
        <f aca="false">IF(AND(ISNUMBER(G203),ISNUMBER(I203)),I203-G203,"")</f>
        <v>0</v>
      </c>
      <c r="K203" s="10" t="n">
        <f aca="false">IF(H203="Done",1,IF(H203="Partial",0.5,IF(H203="Planned","",0)))</f>
        <v>1</v>
      </c>
      <c r="L203" s="17"/>
      <c r="M203" s="17"/>
      <c r="N203" s="17" t="s">
        <v>133</v>
      </c>
    </row>
    <row r="204" customFormat="false" ht="15" hidden="false" customHeight="false" outlineLevel="0" collapsed="false">
      <c r="A204" s="4" t="n">
        <v>203</v>
      </c>
      <c r="B204" s="15" t="n">
        <v>46270</v>
      </c>
      <c r="C204" s="4" t="s">
        <v>31</v>
      </c>
      <c r="D204" s="4" t="s">
        <v>134</v>
      </c>
      <c r="E204" s="17" t="s">
        <v>135</v>
      </c>
      <c r="F204" s="4" t="s">
        <v>118</v>
      </c>
      <c r="G204" s="11" t="n">
        <v>45</v>
      </c>
      <c r="H204" s="4" t="s">
        <v>55</v>
      </c>
      <c r="I204" s="11" t="n">
        <v>52</v>
      </c>
      <c r="J204" s="11" t="n">
        <f aca="false">IF(AND(ISNUMBER(G204),ISNUMBER(I204)),I204-G204,"")</f>
        <v>7</v>
      </c>
      <c r="K204" s="10" t="n">
        <f aca="false">IF(H204="Done",1,IF(H204="Partial",0.5,IF(H204="Planned","",0)))</f>
        <v>1</v>
      </c>
      <c r="L204" s="17"/>
      <c r="M204" s="17"/>
      <c r="N204" s="17"/>
    </row>
    <row r="205" customFormat="false" ht="15" hidden="false" customHeight="false" outlineLevel="0" collapsed="false">
      <c r="A205" s="4" t="n">
        <v>204</v>
      </c>
      <c r="B205" s="15" t="n">
        <v>46270</v>
      </c>
      <c r="C205" s="4" t="s">
        <v>32</v>
      </c>
      <c r="D205" s="4" t="s">
        <v>140</v>
      </c>
      <c r="E205" s="17" t="s">
        <v>141</v>
      </c>
      <c r="F205" s="4" t="s">
        <v>130</v>
      </c>
      <c r="G205" s="11" t="n">
        <v>45</v>
      </c>
      <c r="H205" s="4" t="s">
        <v>150</v>
      </c>
      <c r="I205" s="11"/>
      <c r="J205" s="11" t="str">
        <f aca="false">IF(AND(ISNUMBER(G205),ISNUMBER(I205)),I205-G205,"")</f>
        <v/>
      </c>
      <c r="K205" s="10" t="n">
        <f aca="false">IF(H205="Done",1,IF(H205="Partial",0.5,IF(H205="Planned","",0)))</f>
        <v>0</v>
      </c>
      <c r="L205" s="17"/>
      <c r="M205" s="17" t="s">
        <v>155</v>
      </c>
      <c r="N205" s="17" t="s">
        <v>143</v>
      </c>
    </row>
    <row r="206" customFormat="false" ht="23.85" hidden="false" customHeight="false" outlineLevel="0" collapsed="false">
      <c r="A206" s="4" t="n">
        <v>205</v>
      </c>
      <c r="B206" s="15" t="n">
        <v>46270</v>
      </c>
      <c r="C206" s="4" t="s">
        <v>31</v>
      </c>
      <c r="D206" s="4" t="s">
        <v>119</v>
      </c>
      <c r="E206" s="17" t="s">
        <v>120</v>
      </c>
      <c r="F206" s="4" t="s">
        <v>130</v>
      </c>
      <c r="G206" s="11" t="n">
        <v>60</v>
      </c>
      <c r="H206" s="4" t="s">
        <v>154</v>
      </c>
      <c r="I206" s="11"/>
      <c r="J206" s="11" t="str">
        <f aca="false">IF(AND(ISNUMBER(G206),ISNUMBER(I206)),I206-G206,"")</f>
        <v/>
      </c>
      <c r="K206" s="10" t="n">
        <f aca="false">IF(H206="Done",1,IF(H206="Partial",0.5,IF(H206="Planned","",0)))</f>
        <v>0</v>
      </c>
      <c r="L206" s="17"/>
      <c r="M206" s="17" t="s">
        <v>147</v>
      </c>
      <c r="N206" s="17" t="s">
        <v>123</v>
      </c>
    </row>
    <row r="207" customFormat="false" ht="15" hidden="false" customHeight="false" outlineLevel="0" collapsed="false">
      <c r="A207" s="4" t="n">
        <v>206</v>
      </c>
      <c r="B207" s="15" t="n">
        <v>46270</v>
      </c>
      <c r="C207" s="4" t="s">
        <v>29</v>
      </c>
      <c r="D207" s="4" t="s">
        <v>116</v>
      </c>
      <c r="E207" s="17" t="s">
        <v>117</v>
      </c>
      <c r="F207" s="4" t="s">
        <v>118</v>
      </c>
      <c r="G207" s="11" t="n">
        <v>15</v>
      </c>
      <c r="H207" s="4" t="s">
        <v>55</v>
      </c>
      <c r="I207" s="11" t="n">
        <v>15</v>
      </c>
      <c r="J207" s="11" t="n">
        <f aca="false">IF(AND(ISNUMBER(G207),ISNUMBER(I207)),I207-G207,"")</f>
        <v>0</v>
      </c>
      <c r="K207" s="10" t="n">
        <f aca="false">IF(H207="Done",1,IF(H207="Partial",0.5,IF(H207="Planned","",0)))</f>
        <v>1</v>
      </c>
      <c r="L207" s="17"/>
      <c r="M207" s="17"/>
      <c r="N207" s="17"/>
    </row>
    <row r="208" customFormat="false" ht="15" hidden="false" customHeight="false" outlineLevel="0" collapsed="false">
      <c r="A208" s="4" t="n">
        <v>207</v>
      </c>
      <c r="B208" s="15" t="n">
        <v>46270</v>
      </c>
      <c r="C208" s="4" t="s">
        <v>33</v>
      </c>
      <c r="D208" s="4" t="s">
        <v>151</v>
      </c>
      <c r="E208" s="17" t="s">
        <v>152</v>
      </c>
      <c r="F208" s="4" t="s">
        <v>121</v>
      </c>
      <c r="G208" s="11" t="n">
        <v>30</v>
      </c>
      <c r="H208" s="4" t="s">
        <v>55</v>
      </c>
      <c r="I208" s="11" t="n">
        <v>25</v>
      </c>
      <c r="J208" s="11" t="n">
        <f aca="false">IF(AND(ISNUMBER(G208),ISNUMBER(I208)),I208-G208,"")</f>
        <v>-5</v>
      </c>
      <c r="K208" s="10" t="n">
        <f aca="false">IF(H208="Done",1,IF(H208="Partial",0.5,IF(H208="Planned","",0)))</f>
        <v>1</v>
      </c>
      <c r="L208" s="17"/>
      <c r="M208" s="17"/>
      <c r="N208" s="17"/>
    </row>
    <row r="209" customFormat="false" ht="15" hidden="false" customHeight="false" outlineLevel="0" collapsed="false">
      <c r="A209" s="4" t="n">
        <v>208</v>
      </c>
      <c r="B209" s="15" t="n">
        <v>46271</v>
      </c>
      <c r="C209" s="4" t="s">
        <v>33</v>
      </c>
      <c r="D209" s="4" t="s">
        <v>151</v>
      </c>
      <c r="E209" s="17" t="s">
        <v>152</v>
      </c>
      <c r="F209" s="4" t="s">
        <v>118</v>
      </c>
      <c r="G209" s="11" t="n">
        <v>30</v>
      </c>
      <c r="H209" s="4" t="s">
        <v>161</v>
      </c>
      <c r="I209" s="11"/>
      <c r="J209" s="11" t="str">
        <f aca="false">IF(AND(ISNUMBER(G209),ISNUMBER(I209)),I209-G209,"")</f>
        <v/>
      </c>
      <c r="K209" s="10" t="str">
        <f aca="false">IF(H209="Done",1,IF(H209="Partial",0.5,IF(H209="Planned","",0)))</f>
        <v/>
      </c>
      <c r="L209" s="17"/>
      <c r="M209" s="17"/>
      <c r="N209" s="17"/>
    </row>
    <row r="210" customFormat="false" ht="15" hidden="false" customHeight="false" outlineLevel="0" collapsed="false">
      <c r="A210" s="4" t="n">
        <v>209</v>
      </c>
      <c r="B210" s="15" t="n">
        <v>46271</v>
      </c>
      <c r="C210" s="4" t="s">
        <v>30</v>
      </c>
      <c r="D210" s="4" t="s">
        <v>128</v>
      </c>
      <c r="E210" s="17" t="s">
        <v>129</v>
      </c>
      <c r="F210" s="4" t="s">
        <v>118</v>
      </c>
      <c r="G210" s="11" t="n">
        <v>40</v>
      </c>
      <c r="H210" s="4" t="s">
        <v>161</v>
      </c>
      <c r="I210" s="11"/>
      <c r="J210" s="11" t="str">
        <f aca="false">IF(AND(ISNUMBER(G210),ISNUMBER(I210)),I210-G210,"")</f>
        <v/>
      </c>
      <c r="K210" s="10" t="str">
        <f aca="false">IF(H210="Done",1,IF(H210="Partial",0.5,IF(H210="Planned","",0)))</f>
        <v/>
      </c>
      <c r="L210" s="17"/>
      <c r="M210" s="17"/>
      <c r="N210" s="17"/>
    </row>
    <row r="211" customFormat="false" ht="15" hidden="false" customHeight="false" outlineLevel="0" collapsed="false">
      <c r="A211" s="4" t="n">
        <v>210</v>
      </c>
      <c r="B211" s="15" t="n">
        <v>46271</v>
      </c>
      <c r="C211" s="4" t="s">
        <v>34</v>
      </c>
      <c r="D211" s="4" t="s">
        <v>124</v>
      </c>
      <c r="E211" s="17" t="s">
        <v>125</v>
      </c>
      <c r="F211" s="4" t="s">
        <v>130</v>
      </c>
      <c r="G211" s="11" t="n">
        <v>20</v>
      </c>
      <c r="H211" s="4" t="s">
        <v>161</v>
      </c>
      <c r="I211" s="11"/>
      <c r="J211" s="11" t="str">
        <f aca="false">IF(AND(ISNUMBER(G211),ISNUMBER(I211)),I211-G211,"")</f>
        <v/>
      </c>
      <c r="K211" s="10" t="str">
        <f aca="false">IF(H211="Done",1,IF(H211="Partial",0.5,IF(H211="Planned","",0)))</f>
        <v/>
      </c>
      <c r="L211" s="17"/>
      <c r="M211" s="17"/>
      <c r="N211" s="17"/>
    </row>
    <row r="212" customFormat="false" ht="15" hidden="false" customHeight="false" outlineLevel="0" collapsed="false">
      <c r="A212" s="4" t="n">
        <v>211</v>
      </c>
      <c r="B212" s="15" t="n">
        <v>46271</v>
      </c>
      <c r="C212" s="4" t="s">
        <v>32</v>
      </c>
      <c r="D212" s="4" t="s">
        <v>144</v>
      </c>
      <c r="E212" s="17" t="s">
        <v>145</v>
      </c>
      <c r="F212" s="4" t="s">
        <v>121</v>
      </c>
      <c r="G212" s="11" t="n">
        <v>60</v>
      </c>
      <c r="H212" s="4" t="s">
        <v>161</v>
      </c>
      <c r="I212" s="11"/>
      <c r="J212" s="11" t="str">
        <f aca="false">IF(AND(ISNUMBER(G212),ISNUMBER(I212)),I212-G212,"")</f>
        <v/>
      </c>
      <c r="K212" s="10" t="str">
        <f aca="false">IF(H212="Done",1,IF(H212="Partial",0.5,IF(H212="Planned","",0)))</f>
        <v/>
      </c>
      <c r="L212" s="17"/>
      <c r="M212" s="17"/>
      <c r="N212" s="17"/>
    </row>
    <row r="213" customFormat="false" ht="15" hidden="false" customHeight="false" outlineLevel="0" collapsed="false">
      <c r="A213" s="4" t="n">
        <v>212</v>
      </c>
      <c r="B213" s="15" t="n">
        <v>46273</v>
      </c>
      <c r="C213" s="4" t="s">
        <v>29</v>
      </c>
      <c r="D213" s="4" t="s">
        <v>131</v>
      </c>
      <c r="E213" s="17" t="s">
        <v>132</v>
      </c>
      <c r="F213" s="4" t="s">
        <v>121</v>
      </c>
      <c r="G213" s="11" t="n">
        <v>20</v>
      </c>
      <c r="H213" s="4" t="s">
        <v>139</v>
      </c>
      <c r="I213" s="11" t="n">
        <v>15</v>
      </c>
      <c r="J213" s="11" t="n">
        <f aca="false">IF(AND(ISNUMBER(G213),ISNUMBER(I213)),I213-G213,"")</f>
        <v>-5</v>
      </c>
      <c r="K213" s="10" t="n">
        <f aca="false">IF(H213="Done",1,IF(H213="Partial",0.5,IF(H213="Planned","",0)))</f>
        <v>0.5</v>
      </c>
      <c r="L213" s="17"/>
      <c r="M213" s="17"/>
      <c r="N213" s="17" t="s">
        <v>133</v>
      </c>
    </row>
    <row r="214" customFormat="false" ht="23.85" hidden="false" customHeight="false" outlineLevel="0" collapsed="false">
      <c r="A214" s="4" t="n">
        <v>213</v>
      </c>
      <c r="B214" s="15" t="n">
        <v>46273</v>
      </c>
      <c r="C214" s="4" t="s">
        <v>31</v>
      </c>
      <c r="D214" s="4" t="s">
        <v>136</v>
      </c>
      <c r="E214" s="17" t="s">
        <v>137</v>
      </c>
      <c r="F214" s="4" t="s">
        <v>130</v>
      </c>
      <c r="G214" s="11" t="n">
        <v>120</v>
      </c>
      <c r="H214" s="4" t="s">
        <v>154</v>
      </c>
      <c r="I214" s="11"/>
      <c r="J214" s="11" t="str">
        <f aca="false">IF(AND(ISNUMBER(G214),ISNUMBER(I214)),I214-G214,"")</f>
        <v/>
      </c>
      <c r="K214" s="10" t="n">
        <f aca="false">IF(H214="Done",1,IF(H214="Partial",0.5,IF(H214="Planned","",0)))</f>
        <v>0</v>
      </c>
      <c r="L214" s="17"/>
      <c r="M214" s="17" t="s">
        <v>153</v>
      </c>
      <c r="N214" s="17" t="s">
        <v>123</v>
      </c>
    </row>
    <row r="215" customFormat="false" ht="15" hidden="false" customHeight="false" outlineLevel="0" collapsed="false">
      <c r="A215" s="4" t="n">
        <v>214</v>
      </c>
      <c r="B215" s="15" t="n">
        <v>46273</v>
      </c>
      <c r="C215" s="4" t="s">
        <v>31</v>
      </c>
      <c r="D215" s="4" t="s">
        <v>134</v>
      </c>
      <c r="E215" s="17" t="s">
        <v>135</v>
      </c>
      <c r="F215" s="4" t="s">
        <v>130</v>
      </c>
      <c r="G215" s="11" t="n">
        <v>45</v>
      </c>
      <c r="H215" s="4" t="s">
        <v>150</v>
      </c>
      <c r="I215" s="11"/>
      <c r="J215" s="11" t="str">
        <f aca="false">IF(AND(ISNUMBER(G215),ISNUMBER(I215)),I215-G215,"")</f>
        <v/>
      </c>
      <c r="K215" s="10" t="n">
        <f aca="false">IF(H215="Done",1,IF(H215="Partial",0.5,IF(H215="Planned","",0)))</f>
        <v>0</v>
      </c>
      <c r="L215" s="17"/>
      <c r="M215" s="17" t="s">
        <v>147</v>
      </c>
      <c r="N215" s="17"/>
    </row>
    <row r="216" customFormat="false" ht="15" hidden="false" customHeight="false" outlineLevel="0" collapsed="false">
      <c r="A216" s="4" t="n">
        <v>215</v>
      </c>
      <c r="B216" s="15" t="n">
        <v>46273</v>
      </c>
      <c r="C216" s="4" t="s">
        <v>30</v>
      </c>
      <c r="D216" s="4" t="s">
        <v>156</v>
      </c>
      <c r="E216" s="17" t="s">
        <v>157</v>
      </c>
      <c r="F216" s="4" t="s">
        <v>130</v>
      </c>
      <c r="G216" s="11" t="n">
        <v>30</v>
      </c>
      <c r="H216" s="4" t="s">
        <v>126</v>
      </c>
      <c r="I216" s="11"/>
      <c r="J216" s="11" t="str">
        <f aca="false">IF(AND(ISNUMBER(G216),ISNUMBER(I216)),I216-G216,"")</f>
        <v/>
      </c>
      <c r="K216" s="10" t="n">
        <f aca="false">IF(H216="Done",1,IF(H216="Partial",0.5,IF(H216="Planned","",0)))</f>
        <v>0</v>
      </c>
      <c r="L216" s="17"/>
      <c r="M216" s="17" t="s">
        <v>155</v>
      </c>
      <c r="N216" s="17" t="s">
        <v>158</v>
      </c>
    </row>
    <row r="217" customFormat="false" ht="15" hidden="false" customHeight="false" outlineLevel="0" collapsed="false">
      <c r="A217" s="4" t="n">
        <v>216</v>
      </c>
      <c r="B217" s="15" t="n">
        <v>46273</v>
      </c>
      <c r="C217" s="4" t="s">
        <v>32</v>
      </c>
      <c r="D217" s="4" t="s">
        <v>144</v>
      </c>
      <c r="E217" s="17" t="s">
        <v>145</v>
      </c>
      <c r="F217" s="4" t="s">
        <v>118</v>
      </c>
      <c r="G217" s="11" t="n">
        <v>60</v>
      </c>
      <c r="H217" s="4" t="s">
        <v>154</v>
      </c>
      <c r="I217" s="11"/>
      <c r="J217" s="11" t="str">
        <f aca="false">IF(AND(ISNUMBER(G217),ISNUMBER(I217)),I217-G217,"")</f>
        <v/>
      </c>
      <c r="K217" s="10" t="n">
        <f aca="false">IF(H217="Done",1,IF(H217="Partial",0.5,IF(H217="Planned","",0)))</f>
        <v>0</v>
      </c>
      <c r="L217" s="17"/>
      <c r="M217" s="17" t="s">
        <v>127</v>
      </c>
      <c r="N217" s="17"/>
    </row>
    <row r="218" customFormat="false" ht="23.85" hidden="false" customHeight="false" outlineLevel="0" collapsed="false">
      <c r="A218" s="4" t="n">
        <v>217</v>
      </c>
      <c r="B218" s="15" t="n">
        <v>46273</v>
      </c>
      <c r="C218" s="4" t="s">
        <v>31</v>
      </c>
      <c r="D218" s="4" t="s">
        <v>119</v>
      </c>
      <c r="E218" s="17" t="s">
        <v>120</v>
      </c>
      <c r="F218" s="4" t="s">
        <v>121</v>
      </c>
      <c r="G218" s="11" t="n">
        <v>60</v>
      </c>
      <c r="H218" s="4" t="s">
        <v>126</v>
      </c>
      <c r="I218" s="11"/>
      <c r="J218" s="11" t="str">
        <f aca="false">IF(AND(ISNUMBER(G218),ISNUMBER(I218)),I218-G218,"")</f>
        <v/>
      </c>
      <c r="K218" s="10" t="n">
        <f aca="false">IF(H218="Done",1,IF(H218="Partial",0.5,IF(H218="Planned","",0)))</f>
        <v>0</v>
      </c>
      <c r="L218" s="17"/>
      <c r="M218" s="17" t="s">
        <v>146</v>
      </c>
      <c r="N218" s="17" t="s">
        <v>123</v>
      </c>
    </row>
    <row r="219" customFormat="false" ht="15" hidden="false" customHeight="false" outlineLevel="0" collapsed="false">
      <c r="A219" s="4" t="n">
        <v>218</v>
      </c>
      <c r="B219" s="15" t="n">
        <v>46274</v>
      </c>
      <c r="C219" s="4" t="s">
        <v>30</v>
      </c>
      <c r="D219" s="4" t="s">
        <v>128</v>
      </c>
      <c r="E219" s="17" t="s">
        <v>129</v>
      </c>
      <c r="F219" s="4" t="s">
        <v>121</v>
      </c>
      <c r="G219" s="11" t="n">
        <v>40</v>
      </c>
      <c r="H219" s="4" t="s">
        <v>55</v>
      </c>
      <c r="I219" s="11" t="n">
        <v>26</v>
      </c>
      <c r="J219" s="11" t="n">
        <f aca="false">IF(AND(ISNUMBER(G219),ISNUMBER(I219)),I219-G219,"")</f>
        <v>-14</v>
      </c>
      <c r="K219" s="10" t="n">
        <f aca="false">IF(H219="Done",1,IF(H219="Partial",0.5,IF(H219="Planned","",0)))</f>
        <v>1</v>
      </c>
      <c r="L219" s="17"/>
      <c r="M219" s="17"/>
      <c r="N219" s="17"/>
    </row>
    <row r="220" customFormat="false" ht="23.85" hidden="false" customHeight="false" outlineLevel="0" collapsed="false">
      <c r="A220" s="4" t="n">
        <v>219</v>
      </c>
      <c r="B220" s="15" t="n">
        <v>46274</v>
      </c>
      <c r="C220" s="4" t="s">
        <v>31</v>
      </c>
      <c r="D220" s="4" t="s">
        <v>119</v>
      </c>
      <c r="E220" s="17" t="s">
        <v>120</v>
      </c>
      <c r="F220" s="4" t="s">
        <v>130</v>
      </c>
      <c r="G220" s="11" t="n">
        <v>60</v>
      </c>
      <c r="H220" s="4" t="s">
        <v>55</v>
      </c>
      <c r="I220" s="11" t="n">
        <v>125</v>
      </c>
      <c r="J220" s="11" t="n">
        <f aca="false">IF(AND(ISNUMBER(G220),ISNUMBER(I220)),I220-G220,"")</f>
        <v>65</v>
      </c>
      <c r="K220" s="10" t="n">
        <f aca="false">IF(H220="Done",1,IF(H220="Partial",0.5,IF(H220="Planned","",0)))</f>
        <v>1</v>
      </c>
      <c r="L220" s="17"/>
      <c r="M220" s="17"/>
      <c r="N220" s="17" t="s">
        <v>123</v>
      </c>
    </row>
    <row r="221" customFormat="false" ht="23.85" hidden="false" customHeight="false" outlineLevel="0" collapsed="false">
      <c r="A221" s="4" t="n">
        <v>220</v>
      </c>
      <c r="B221" s="15" t="n">
        <v>46275</v>
      </c>
      <c r="C221" s="4" t="s">
        <v>31</v>
      </c>
      <c r="D221" s="4" t="s">
        <v>119</v>
      </c>
      <c r="E221" s="17" t="s">
        <v>120</v>
      </c>
      <c r="F221" s="4" t="s">
        <v>130</v>
      </c>
      <c r="G221" s="11" t="n">
        <v>60</v>
      </c>
      <c r="H221" s="4" t="s">
        <v>150</v>
      </c>
      <c r="I221" s="11"/>
      <c r="J221" s="11" t="str">
        <f aca="false">IF(AND(ISNUMBER(G221),ISNUMBER(I221)),I221-G221,"")</f>
        <v/>
      </c>
      <c r="K221" s="10" t="n">
        <f aca="false">IF(H221="Done",1,IF(H221="Partial",0.5,IF(H221="Planned","",0)))</f>
        <v>0</v>
      </c>
      <c r="L221" s="17"/>
      <c r="M221" s="17" t="s">
        <v>146</v>
      </c>
      <c r="N221" s="17" t="s">
        <v>123</v>
      </c>
    </row>
    <row r="222" customFormat="false" ht="15" hidden="false" customHeight="false" outlineLevel="0" collapsed="false">
      <c r="A222" s="4" t="n">
        <v>221</v>
      </c>
      <c r="B222" s="15" t="n">
        <v>46275</v>
      </c>
      <c r="C222" s="4" t="s">
        <v>35</v>
      </c>
      <c r="D222" s="4" t="s">
        <v>148</v>
      </c>
      <c r="E222" s="17" t="s">
        <v>149</v>
      </c>
      <c r="F222" s="4" t="s">
        <v>130</v>
      </c>
      <c r="G222" s="11" t="n">
        <v>30</v>
      </c>
      <c r="H222" s="4" t="s">
        <v>126</v>
      </c>
      <c r="I222" s="11"/>
      <c r="J222" s="11" t="str">
        <f aca="false">IF(AND(ISNUMBER(G222),ISNUMBER(I222)),I222-G222,"")</f>
        <v/>
      </c>
      <c r="K222" s="10" t="n">
        <f aca="false">IF(H222="Done",1,IF(H222="Partial",0.5,IF(H222="Planned","",0)))</f>
        <v>0</v>
      </c>
      <c r="L222" s="17"/>
      <c r="M222" s="17" t="s">
        <v>155</v>
      </c>
      <c r="N222" s="17"/>
    </row>
    <row r="223" customFormat="false" ht="15" hidden="false" customHeight="false" outlineLevel="0" collapsed="false">
      <c r="A223" s="4" t="n">
        <v>222</v>
      </c>
      <c r="B223" s="15" t="n">
        <v>46275</v>
      </c>
      <c r="C223" s="4" t="s">
        <v>31</v>
      </c>
      <c r="D223" s="4" t="s">
        <v>134</v>
      </c>
      <c r="E223" s="17" t="s">
        <v>135</v>
      </c>
      <c r="F223" s="4" t="s">
        <v>121</v>
      </c>
      <c r="G223" s="11" t="n">
        <v>45</v>
      </c>
      <c r="H223" s="4" t="s">
        <v>150</v>
      </c>
      <c r="I223" s="11"/>
      <c r="J223" s="11" t="str">
        <f aca="false">IF(AND(ISNUMBER(G223),ISNUMBER(I223)),I223-G223,"")</f>
        <v/>
      </c>
      <c r="K223" s="10" t="n">
        <f aca="false">IF(H223="Done",1,IF(H223="Partial",0.5,IF(H223="Planned","",0)))</f>
        <v>0</v>
      </c>
      <c r="L223" s="17"/>
      <c r="M223" s="17" t="s">
        <v>127</v>
      </c>
      <c r="N223" s="17"/>
    </row>
    <row r="224" customFormat="false" ht="15" hidden="false" customHeight="false" outlineLevel="0" collapsed="false">
      <c r="A224" s="4" t="n">
        <v>223</v>
      </c>
      <c r="B224" s="15" t="n">
        <v>46275</v>
      </c>
      <c r="C224" s="4" t="s">
        <v>34</v>
      </c>
      <c r="D224" s="4" t="s">
        <v>124</v>
      </c>
      <c r="E224" s="17" t="s">
        <v>125</v>
      </c>
      <c r="F224" s="4" t="s">
        <v>130</v>
      </c>
      <c r="G224" s="11" t="n">
        <v>20</v>
      </c>
      <c r="H224" s="4" t="s">
        <v>139</v>
      </c>
      <c r="I224" s="11" t="n">
        <v>12</v>
      </c>
      <c r="J224" s="11" t="n">
        <f aca="false">IF(AND(ISNUMBER(G224),ISNUMBER(I224)),I224-G224,"")</f>
        <v>-8</v>
      </c>
      <c r="K224" s="10" t="n">
        <f aca="false">IF(H224="Done",1,IF(H224="Partial",0.5,IF(H224="Planned","",0)))</f>
        <v>0.5</v>
      </c>
      <c r="L224" s="17"/>
      <c r="M224" s="17"/>
      <c r="N224" s="17"/>
    </row>
    <row r="225" customFormat="false" ht="15" hidden="false" customHeight="false" outlineLevel="0" collapsed="false">
      <c r="A225" s="4" t="n">
        <v>224</v>
      </c>
      <c r="B225" s="15" t="n">
        <v>46275</v>
      </c>
      <c r="C225" s="4" t="s">
        <v>30</v>
      </c>
      <c r="D225" s="4" t="s">
        <v>156</v>
      </c>
      <c r="E225" s="17" t="s">
        <v>157</v>
      </c>
      <c r="F225" s="4" t="s">
        <v>121</v>
      </c>
      <c r="G225" s="11" t="n">
        <v>30</v>
      </c>
      <c r="H225" s="4" t="s">
        <v>126</v>
      </c>
      <c r="I225" s="11"/>
      <c r="J225" s="11" t="str">
        <f aca="false">IF(AND(ISNUMBER(G225),ISNUMBER(I225)),I225-G225,"")</f>
        <v/>
      </c>
      <c r="K225" s="10" t="n">
        <f aca="false">IF(H225="Done",1,IF(H225="Partial",0.5,IF(H225="Planned","",0)))</f>
        <v>0</v>
      </c>
      <c r="L225" s="17"/>
      <c r="M225" s="17" t="s">
        <v>147</v>
      </c>
      <c r="N225" s="17" t="s">
        <v>158</v>
      </c>
    </row>
    <row r="226" customFormat="false" ht="23.85" hidden="false" customHeight="false" outlineLevel="0" collapsed="false">
      <c r="A226" s="4" t="n">
        <v>225</v>
      </c>
      <c r="B226" s="15" t="n">
        <v>46275</v>
      </c>
      <c r="C226" s="4" t="s">
        <v>31</v>
      </c>
      <c r="D226" s="4" t="s">
        <v>136</v>
      </c>
      <c r="E226" s="17" t="s">
        <v>137</v>
      </c>
      <c r="F226" s="4" t="s">
        <v>130</v>
      </c>
      <c r="G226" s="11" t="n">
        <v>120</v>
      </c>
      <c r="H226" s="4" t="s">
        <v>139</v>
      </c>
      <c r="I226" s="11" t="n">
        <v>87</v>
      </c>
      <c r="J226" s="11" t="n">
        <f aca="false">IF(AND(ISNUMBER(G226),ISNUMBER(I226)),I226-G226,"")</f>
        <v>-33</v>
      </c>
      <c r="K226" s="10" t="n">
        <f aca="false">IF(H226="Done",1,IF(H226="Partial",0.5,IF(H226="Planned","",0)))</f>
        <v>0.5</v>
      </c>
      <c r="L226" s="17" t="s">
        <v>164</v>
      </c>
      <c r="M226" s="17"/>
      <c r="N226" s="17" t="s">
        <v>123</v>
      </c>
    </row>
    <row r="227" customFormat="false" ht="15" hidden="false" customHeight="false" outlineLevel="0" collapsed="false">
      <c r="A227" s="4" t="n">
        <v>226</v>
      </c>
      <c r="B227" s="15" t="n">
        <v>46275</v>
      </c>
      <c r="C227" s="4" t="s">
        <v>30</v>
      </c>
      <c r="D227" s="4" t="s">
        <v>128</v>
      </c>
      <c r="E227" s="17" t="s">
        <v>129</v>
      </c>
      <c r="F227" s="4" t="s">
        <v>121</v>
      </c>
      <c r="G227" s="11" t="n">
        <v>40</v>
      </c>
      <c r="H227" s="4" t="s">
        <v>55</v>
      </c>
      <c r="I227" s="11" t="n">
        <v>43</v>
      </c>
      <c r="J227" s="11" t="n">
        <f aca="false">IF(AND(ISNUMBER(G227),ISNUMBER(I227)),I227-G227,"")</f>
        <v>3</v>
      </c>
      <c r="K227" s="10" t="n">
        <f aca="false">IF(H227="Done",1,IF(H227="Partial",0.5,IF(H227="Planned","",0)))</f>
        <v>1</v>
      </c>
      <c r="L227" s="17"/>
      <c r="M227" s="17"/>
      <c r="N227" s="17"/>
    </row>
    <row r="228" customFormat="false" ht="15" hidden="false" customHeight="false" outlineLevel="0" collapsed="false">
      <c r="A228" s="4" t="n">
        <v>227</v>
      </c>
      <c r="B228" s="15" t="n">
        <v>46276</v>
      </c>
      <c r="C228" s="4" t="s">
        <v>31</v>
      </c>
      <c r="D228" s="4" t="s">
        <v>159</v>
      </c>
      <c r="E228" s="17" t="s">
        <v>160</v>
      </c>
      <c r="F228" s="4" t="s">
        <v>130</v>
      </c>
      <c r="G228" s="11" t="n">
        <v>60</v>
      </c>
      <c r="H228" s="4" t="s">
        <v>139</v>
      </c>
      <c r="I228" s="11" t="n">
        <v>40</v>
      </c>
      <c r="J228" s="11" t="n">
        <f aca="false">IF(AND(ISNUMBER(G228),ISNUMBER(I228)),I228-G228,"")</f>
        <v>-20</v>
      </c>
      <c r="K228" s="10" t="n">
        <f aca="false">IF(H228="Done",1,IF(H228="Partial",0.5,IF(H228="Planned","",0)))</f>
        <v>0.5</v>
      </c>
      <c r="L228" s="17" t="s">
        <v>162</v>
      </c>
      <c r="M228" s="17"/>
      <c r="N228" s="17"/>
    </row>
    <row r="229" customFormat="false" ht="15" hidden="false" customHeight="false" outlineLevel="0" collapsed="false">
      <c r="A229" s="4" t="n">
        <v>228</v>
      </c>
      <c r="B229" s="15" t="n">
        <v>46276</v>
      </c>
      <c r="C229" s="4" t="s">
        <v>29</v>
      </c>
      <c r="D229" s="4" t="s">
        <v>116</v>
      </c>
      <c r="E229" s="17" t="s">
        <v>117</v>
      </c>
      <c r="F229" s="4" t="s">
        <v>130</v>
      </c>
      <c r="G229" s="11" t="n">
        <v>15</v>
      </c>
      <c r="H229" s="4" t="s">
        <v>55</v>
      </c>
      <c r="I229" s="11" t="n">
        <v>15</v>
      </c>
      <c r="J229" s="11" t="n">
        <f aca="false">IF(AND(ISNUMBER(G229),ISNUMBER(I229)),I229-G229,"")</f>
        <v>0</v>
      </c>
      <c r="K229" s="10" t="n">
        <f aca="false">IF(H229="Done",1,IF(H229="Partial",0.5,IF(H229="Planned","",0)))</f>
        <v>1</v>
      </c>
      <c r="L229" s="17"/>
      <c r="M229" s="17"/>
      <c r="N229" s="17"/>
    </row>
    <row r="230" customFormat="false" ht="15" hidden="false" customHeight="false" outlineLevel="0" collapsed="false">
      <c r="A230" s="4" t="n">
        <v>229</v>
      </c>
      <c r="B230" s="15" t="n">
        <v>46276</v>
      </c>
      <c r="C230" s="4" t="s">
        <v>33</v>
      </c>
      <c r="D230" s="4" t="s">
        <v>151</v>
      </c>
      <c r="E230" s="17" t="s">
        <v>152</v>
      </c>
      <c r="F230" s="4" t="s">
        <v>121</v>
      </c>
      <c r="G230" s="11" t="n">
        <v>30</v>
      </c>
      <c r="H230" s="4" t="s">
        <v>154</v>
      </c>
      <c r="I230" s="11"/>
      <c r="J230" s="11" t="str">
        <f aca="false">IF(AND(ISNUMBER(G230),ISNUMBER(I230)),I230-G230,"")</f>
        <v/>
      </c>
      <c r="K230" s="10" t="n">
        <f aca="false">IF(H230="Done",1,IF(H230="Partial",0.5,IF(H230="Planned","",0)))</f>
        <v>0</v>
      </c>
      <c r="L230" s="17"/>
      <c r="M230" s="17" t="s">
        <v>142</v>
      </c>
      <c r="N230" s="17"/>
    </row>
    <row r="231" customFormat="false" ht="23.85" hidden="false" customHeight="false" outlineLevel="0" collapsed="false">
      <c r="A231" s="4" t="n">
        <v>230</v>
      </c>
      <c r="B231" s="15" t="n">
        <v>46276</v>
      </c>
      <c r="C231" s="4" t="s">
        <v>31</v>
      </c>
      <c r="D231" s="4" t="s">
        <v>119</v>
      </c>
      <c r="E231" s="17" t="s">
        <v>120</v>
      </c>
      <c r="F231" s="4" t="s">
        <v>121</v>
      </c>
      <c r="G231" s="11" t="n">
        <v>60</v>
      </c>
      <c r="H231" s="4" t="s">
        <v>150</v>
      </c>
      <c r="I231" s="11"/>
      <c r="J231" s="11" t="str">
        <f aca="false">IF(AND(ISNUMBER(G231),ISNUMBER(I231)),I231-G231,"")</f>
        <v/>
      </c>
      <c r="K231" s="10" t="n">
        <f aca="false">IF(H231="Done",1,IF(H231="Partial",0.5,IF(H231="Planned","",0)))</f>
        <v>0</v>
      </c>
      <c r="L231" s="17"/>
      <c r="M231" s="17" t="s">
        <v>127</v>
      </c>
      <c r="N231" s="17" t="s">
        <v>123</v>
      </c>
    </row>
    <row r="232" customFormat="false" ht="15" hidden="false" customHeight="false" outlineLevel="0" collapsed="false">
      <c r="A232" s="4" t="n">
        <v>231</v>
      </c>
      <c r="B232" s="15" t="n">
        <v>46276</v>
      </c>
      <c r="C232" s="4" t="s">
        <v>30</v>
      </c>
      <c r="D232" s="4" t="s">
        <v>128</v>
      </c>
      <c r="E232" s="17" t="s">
        <v>129</v>
      </c>
      <c r="F232" s="4" t="s">
        <v>130</v>
      </c>
      <c r="G232" s="11" t="n">
        <v>40</v>
      </c>
      <c r="H232" s="4" t="s">
        <v>154</v>
      </c>
      <c r="I232" s="11"/>
      <c r="J232" s="11" t="str">
        <f aca="false">IF(AND(ISNUMBER(G232),ISNUMBER(I232)),I232-G232,"")</f>
        <v/>
      </c>
      <c r="K232" s="10" t="n">
        <f aca="false">IF(H232="Done",1,IF(H232="Partial",0.5,IF(H232="Planned","",0)))</f>
        <v>0</v>
      </c>
      <c r="L232" s="17"/>
      <c r="M232" s="17" t="s">
        <v>146</v>
      </c>
      <c r="N232" s="17"/>
    </row>
    <row r="233" customFormat="false" ht="15" hidden="false" customHeight="false" outlineLevel="0" collapsed="false">
      <c r="A233" s="4" t="n">
        <v>232</v>
      </c>
      <c r="B233" s="15" t="n">
        <v>46276</v>
      </c>
      <c r="C233" s="4" t="s">
        <v>32</v>
      </c>
      <c r="D233" s="4" t="s">
        <v>144</v>
      </c>
      <c r="E233" s="17" t="s">
        <v>145</v>
      </c>
      <c r="F233" s="4" t="s">
        <v>130</v>
      </c>
      <c r="G233" s="11" t="n">
        <v>60</v>
      </c>
      <c r="H233" s="4" t="s">
        <v>150</v>
      </c>
      <c r="I233" s="11"/>
      <c r="J233" s="11" t="str">
        <f aca="false">IF(AND(ISNUMBER(G233),ISNUMBER(I233)),I233-G233,"")</f>
        <v/>
      </c>
      <c r="K233" s="10" t="n">
        <f aca="false">IF(H233="Done",1,IF(H233="Partial",0.5,IF(H233="Planned","",0)))</f>
        <v>0</v>
      </c>
      <c r="L233" s="17"/>
      <c r="M233" s="17" t="s">
        <v>146</v>
      </c>
      <c r="N233" s="17"/>
    </row>
    <row r="234" customFormat="false" ht="15" hidden="false" customHeight="false" outlineLevel="0" collapsed="false">
      <c r="A234" s="4" t="n">
        <v>233</v>
      </c>
      <c r="B234" s="15" t="n">
        <v>46278</v>
      </c>
      <c r="C234" s="4" t="s">
        <v>32</v>
      </c>
      <c r="D234" s="4" t="s">
        <v>144</v>
      </c>
      <c r="E234" s="17" t="s">
        <v>145</v>
      </c>
      <c r="F234" s="4" t="s">
        <v>121</v>
      </c>
      <c r="G234" s="11" t="n">
        <v>60</v>
      </c>
      <c r="H234" s="4" t="s">
        <v>126</v>
      </c>
      <c r="I234" s="11"/>
      <c r="J234" s="11" t="str">
        <f aca="false">IF(AND(ISNUMBER(G234),ISNUMBER(I234)),I234-G234,"")</f>
        <v/>
      </c>
      <c r="K234" s="10" t="n">
        <f aca="false">IF(H234="Done",1,IF(H234="Partial",0.5,IF(H234="Planned","",0)))</f>
        <v>0</v>
      </c>
      <c r="L234" s="17"/>
      <c r="M234" s="17" t="s">
        <v>153</v>
      </c>
      <c r="N234" s="17"/>
    </row>
    <row r="235" customFormat="false" ht="15" hidden="false" customHeight="false" outlineLevel="0" collapsed="false">
      <c r="A235" s="4" t="n">
        <v>234</v>
      </c>
      <c r="B235" s="15" t="n">
        <v>46278</v>
      </c>
      <c r="C235" s="4" t="s">
        <v>34</v>
      </c>
      <c r="D235" s="4" t="s">
        <v>124</v>
      </c>
      <c r="E235" s="17" t="s">
        <v>125</v>
      </c>
      <c r="F235" s="4" t="s">
        <v>121</v>
      </c>
      <c r="G235" s="11" t="n">
        <v>20</v>
      </c>
      <c r="H235" s="4" t="s">
        <v>55</v>
      </c>
      <c r="I235" s="11" t="n">
        <v>24</v>
      </c>
      <c r="J235" s="11" t="n">
        <f aca="false">IF(AND(ISNUMBER(G235),ISNUMBER(I235)),I235-G235,"")</f>
        <v>4</v>
      </c>
      <c r="K235" s="10" t="n">
        <f aca="false">IF(H235="Done",1,IF(H235="Partial",0.5,IF(H235="Planned","",0)))</f>
        <v>1</v>
      </c>
      <c r="L235" s="17"/>
      <c r="M235" s="17"/>
      <c r="N235" s="17"/>
    </row>
    <row r="236" customFormat="false" ht="15" hidden="false" customHeight="false" outlineLevel="0" collapsed="false">
      <c r="A236" s="4" t="n">
        <v>235</v>
      </c>
      <c r="B236" s="15" t="n">
        <v>46279</v>
      </c>
      <c r="C236" s="4" t="s">
        <v>35</v>
      </c>
      <c r="D236" s="4" t="s">
        <v>148</v>
      </c>
      <c r="E236" s="17" t="s">
        <v>149</v>
      </c>
      <c r="F236" s="4" t="s">
        <v>118</v>
      </c>
      <c r="G236" s="11" t="n">
        <v>30</v>
      </c>
      <c r="H236" s="4" t="s">
        <v>139</v>
      </c>
      <c r="I236" s="11" t="n">
        <v>16</v>
      </c>
      <c r="J236" s="11" t="n">
        <f aca="false">IF(AND(ISNUMBER(G236),ISNUMBER(I236)),I236-G236,"")</f>
        <v>-14</v>
      </c>
      <c r="K236" s="10" t="n">
        <f aca="false">IF(H236="Done",1,IF(H236="Partial",0.5,IF(H236="Planned","",0)))</f>
        <v>0.5</v>
      </c>
      <c r="L236" s="17"/>
      <c r="M236" s="17"/>
      <c r="N236" s="17"/>
    </row>
    <row r="237" customFormat="false" ht="15" hidden="false" customHeight="false" outlineLevel="0" collapsed="false">
      <c r="A237" s="4" t="n">
        <v>236</v>
      </c>
      <c r="B237" s="15" t="n">
        <v>46279</v>
      </c>
      <c r="C237" s="4" t="s">
        <v>30</v>
      </c>
      <c r="D237" s="4" t="s">
        <v>128</v>
      </c>
      <c r="E237" s="17" t="s">
        <v>129</v>
      </c>
      <c r="F237" s="4" t="s">
        <v>118</v>
      </c>
      <c r="G237" s="11" t="n">
        <v>40</v>
      </c>
      <c r="H237" s="4" t="s">
        <v>55</v>
      </c>
      <c r="I237" s="11" t="n">
        <v>38</v>
      </c>
      <c r="J237" s="11" t="n">
        <f aca="false">IF(AND(ISNUMBER(G237),ISNUMBER(I237)),I237-G237,"")</f>
        <v>-2</v>
      </c>
      <c r="K237" s="10" t="n">
        <f aca="false">IF(H237="Done",1,IF(H237="Partial",0.5,IF(H237="Planned","",0)))</f>
        <v>1</v>
      </c>
      <c r="L237" s="17"/>
      <c r="M237" s="17"/>
      <c r="N237" s="17"/>
    </row>
    <row r="238" customFormat="false" ht="23.85" hidden="false" customHeight="false" outlineLevel="0" collapsed="false">
      <c r="A238" s="4" t="n">
        <v>237</v>
      </c>
      <c r="B238" s="15" t="n">
        <v>46279</v>
      </c>
      <c r="C238" s="4" t="s">
        <v>31</v>
      </c>
      <c r="D238" s="4" t="s">
        <v>136</v>
      </c>
      <c r="E238" s="17" t="s">
        <v>137</v>
      </c>
      <c r="F238" s="4" t="s">
        <v>118</v>
      </c>
      <c r="G238" s="11" t="n">
        <v>120</v>
      </c>
      <c r="H238" s="4" t="s">
        <v>126</v>
      </c>
      <c r="I238" s="11"/>
      <c r="J238" s="11" t="str">
        <f aca="false">IF(AND(ISNUMBER(G238),ISNUMBER(I238)),I238-G238,"")</f>
        <v/>
      </c>
      <c r="K238" s="10" t="n">
        <f aca="false">IF(H238="Done",1,IF(H238="Partial",0.5,IF(H238="Planned","",0)))</f>
        <v>0</v>
      </c>
      <c r="L238" s="17"/>
      <c r="M238" s="17" t="s">
        <v>146</v>
      </c>
      <c r="N238" s="17" t="s">
        <v>123</v>
      </c>
    </row>
    <row r="239" customFormat="false" ht="15" hidden="false" customHeight="false" outlineLevel="0" collapsed="false">
      <c r="A239" s="4" t="n">
        <v>238</v>
      </c>
      <c r="B239" s="15" t="n">
        <v>46279</v>
      </c>
      <c r="C239" s="4" t="s">
        <v>29</v>
      </c>
      <c r="D239" s="4" t="s">
        <v>116</v>
      </c>
      <c r="E239" s="17" t="s">
        <v>117</v>
      </c>
      <c r="F239" s="4" t="s">
        <v>130</v>
      </c>
      <c r="G239" s="11" t="n">
        <v>15</v>
      </c>
      <c r="H239" s="4" t="s">
        <v>150</v>
      </c>
      <c r="I239" s="11"/>
      <c r="J239" s="11" t="str">
        <f aca="false">IF(AND(ISNUMBER(G239),ISNUMBER(I239)),I239-G239,"")</f>
        <v/>
      </c>
      <c r="K239" s="10" t="n">
        <f aca="false">IF(H239="Done",1,IF(H239="Partial",0.5,IF(H239="Planned","",0)))</f>
        <v>0</v>
      </c>
      <c r="L239" s="17"/>
      <c r="M239" s="17" t="s">
        <v>142</v>
      </c>
      <c r="N239" s="17"/>
    </row>
    <row r="240" customFormat="false" ht="15" hidden="false" customHeight="false" outlineLevel="0" collapsed="false">
      <c r="A240" s="4" t="n">
        <v>239</v>
      </c>
      <c r="B240" s="15" t="n">
        <v>46280</v>
      </c>
      <c r="C240" s="4" t="s">
        <v>32</v>
      </c>
      <c r="D240" s="4" t="s">
        <v>144</v>
      </c>
      <c r="E240" s="17" t="s">
        <v>145</v>
      </c>
      <c r="F240" s="4" t="s">
        <v>130</v>
      </c>
      <c r="G240" s="11" t="n">
        <v>60</v>
      </c>
      <c r="H240" s="4" t="s">
        <v>126</v>
      </c>
      <c r="I240" s="11"/>
      <c r="J240" s="11" t="str">
        <f aca="false">IF(AND(ISNUMBER(G240),ISNUMBER(I240)),I240-G240,"")</f>
        <v/>
      </c>
      <c r="K240" s="10" t="n">
        <f aca="false">IF(H240="Done",1,IF(H240="Partial",0.5,IF(H240="Planned","",0)))</f>
        <v>0</v>
      </c>
      <c r="L240" s="17"/>
      <c r="M240" s="17" t="s">
        <v>147</v>
      </c>
      <c r="N240" s="17"/>
    </row>
    <row r="241" customFormat="false" ht="15" hidden="false" customHeight="false" outlineLevel="0" collapsed="false">
      <c r="A241" s="4" t="n">
        <v>240</v>
      </c>
      <c r="B241" s="15" t="n">
        <v>46280</v>
      </c>
      <c r="C241" s="4" t="s">
        <v>31</v>
      </c>
      <c r="D241" s="4" t="s">
        <v>134</v>
      </c>
      <c r="E241" s="17" t="s">
        <v>135</v>
      </c>
      <c r="F241" s="4" t="s">
        <v>130</v>
      </c>
      <c r="G241" s="11" t="n">
        <v>45</v>
      </c>
      <c r="H241" s="4" t="s">
        <v>55</v>
      </c>
      <c r="I241" s="11" t="n">
        <v>55</v>
      </c>
      <c r="J241" s="11" t="n">
        <f aca="false">IF(AND(ISNUMBER(G241),ISNUMBER(I241)),I241-G241,"")</f>
        <v>10</v>
      </c>
      <c r="K241" s="10" t="n">
        <f aca="false">IF(H241="Done",1,IF(H241="Partial",0.5,IF(H241="Planned","",0)))</f>
        <v>1</v>
      </c>
      <c r="L241" s="17"/>
      <c r="M241" s="17"/>
      <c r="N241" s="17"/>
    </row>
    <row r="242" customFormat="false" ht="15" hidden="false" customHeight="false" outlineLevel="0" collapsed="false">
      <c r="A242" s="4" t="n">
        <v>241</v>
      </c>
      <c r="B242" s="15" t="n">
        <v>46280</v>
      </c>
      <c r="C242" s="4" t="s">
        <v>34</v>
      </c>
      <c r="D242" s="4" t="s">
        <v>124</v>
      </c>
      <c r="E242" s="17" t="s">
        <v>125</v>
      </c>
      <c r="F242" s="4" t="s">
        <v>121</v>
      </c>
      <c r="G242" s="11" t="n">
        <v>20</v>
      </c>
      <c r="H242" s="4" t="s">
        <v>154</v>
      </c>
      <c r="I242" s="11"/>
      <c r="J242" s="11" t="str">
        <f aca="false">IF(AND(ISNUMBER(G242),ISNUMBER(I242)),I242-G242,"")</f>
        <v/>
      </c>
      <c r="K242" s="10" t="n">
        <f aca="false">IF(H242="Done",1,IF(H242="Partial",0.5,IF(H242="Planned","",0)))</f>
        <v>0</v>
      </c>
      <c r="L242" s="17"/>
      <c r="M242" s="17" t="s">
        <v>153</v>
      </c>
      <c r="N242" s="17"/>
    </row>
    <row r="243" customFormat="false" ht="23.85" hidden="false" customHeight="false" outlineLevel="0" collapsed="false">
      <c r="A243" s="4" t="n">
        <v>242</v>
      </c>
      <c r="B243" s="15" t="n">
        <v>46280</v>
      </c>
      <c r="C243" s="4" t="s">
        <v>31</v>
      </c>
      <c r="D243" s="4" t="s">
        <v>119</v>
      </c>
      <c r="E243" s="17" t="s">
        <v>120</v>
      </c>
      <c r="F243" s="4" t="s">
        <v>130</v>
      </c>
      <c r="G243" s="11" t="n">
        <v>60</v>
      </c>
      <c r="H243" s="4" t="s">
        <v>150</v>
      </c>
      <c r="I243" s="11"/>
      <c r="J243" s="11" t="str">
        <f aca="false">IF(AND(ISNUMBER(G243),ISNUMBER(I243)),I243-G243,"")</f>
        <v/>
      </c>
      <c r="K243" s="10" t="n">
        <f aca="false">IF(H243="Done",1,IF(H243="Partial",0.5,IF(H243="Planned","",0)))</f>
        <v>0</v>
      </c>
      <c r="L243" s="17"/>
      <c r="M243" s="17" t="s">
        <v>127</v>
      </c>
      <c r="N243" s="17" t="s">
        <v>123</v>
      </c>
    </row>
    <row r="244" customFormat="false" ht="23.85" hidden="false" customHeight="false" outlineLevel="0" collapsed="false">
      <c r="A244" s="4" t="n">
        <v>243</v>
      </c>
      <c r="B244" s="15" t="n">
        <v>46281</v>
      </c>
      <c r="C244" s="4" t="s">
        <v>31</v>
      </c>
      <c r="D244" s="4" t="s">
        <v>119</v>
      </c>
      <c r="E244" s="17" t="s">
        <v>120</v>
      </c>
      <c r="F244" s="4" t="s">
        <v>121</v>
      </c>
      <c r="G244" s="11" t="n">
        <v>60</v>
      </c>
      <c r="H244" s="4" t="s">
        <v>139</v>
      </c>
      <c r="I244" s="11" t="n">
        <v>40</v>
      </c>
      <c r="J244" s="11" t="n">
        <f aca="false">IF(AND(ISNUMBER(G244),ISNUMBER(I244)),I244-G244,"")</f>
        <v>-20</v>
      </c>
      <c r="K244" s="10" t="n">
        <f aca="false">IF(H244="Done",1,IF(H244="Partial",0.5,IF(H244="Planned","",0)))</f>
        <v>0.5</v>
      </c>
      <c r="L244" s="17"/>
      <c r="M244" s="17"/>
      <c r="N244" s="17" t="s">
        <v>123</v>
      </c>
    </row>
    <row r="245" customFormat="false" ht="15" hidden="false" customHeight="false" outlineLevel="0" collapsed="false">
      <c r="A245" s="4" t="n">
        <v>244</v>
      </c>
      <c r="B245" s="15" t="n">
        <v>46281</v>
      </c>
      <c r="C245" s="4" t="s">
        <v>29</v>
      </c>
      <c r="D245" s="4" t="s">
        <v>116</v>
      </c>
      <c r="E245" s="17" t="s">
        <v>117</v>
      </c>
      <c r="F245" s="4" t="s">
        <v>121</v>
      </c>
      <c r="G245" s="11" t="n">
        <v>15</v>
      </c>
      <c r="H245" s="4" t="s">
        <v>55</v>
      </c>
      <c r="I245" s="11" t="n">
        <v>12</v>
      </c>
      <c r="J245" s="11" t="n">
        <f aca="false">IF(AND(ISNUMBER(G245),ISNUMBER(I245)),I245-G245,"")</f>
        <v>-3</v>
      </c>
      <c r="K245" s="10" t="n">
        <f aca="false">IF(H245="Done",1,IF(H245="Partial",0.5,IF(H245="Planned","",0)))</f>
        <v>1</v>
      </c>
      <c r="L245" s="17"/>
      <c r="M245" s="17"/>
      <c r="N245" s="17"/>
    </row>
    <row r="246" customFormat="false" ht="15" hidden="false" customHeight="false" outlineLevel="0" collapsed="false">
      <c r="A246" s="4" t="n">
        <v>245</v>
      </c>
      <c r="B246" s="15" t="n">
        <v>46281</v>
      </c>
      <c r="C246" s="4" t="s">
        <v>35</v>
      </c>
      <c r="D246" s="4" t="s">
        <v>148</v>
      </c>
      <c r="E246" s="17" t="s">
        <v>149</v>
      </c>
      <c r="F246" s="4" t="s">
        <v>130</v>
      </c>
      <c r="G246" s="11" t="n">
        <v>30</v>
      </c>
      <c r="H246" s="4" t="s">
        <v>126</v>
      </c>
      <c r="I246" s="11"/>
      <c r="J246" s="11" t="str">
        <f aca="false">IF(AND(ISNUMBER(G246),ISNUMBER(I246)),I246-G246,"")</f>
        <v/>
      </c>
      <c r="K246" s="10" t="n">
        <f aca="false">IF(H246="Done",1,IF(H246="Partial",0.5,IF(H246="Planned","",0)))</f>
        <v>0</v>
      </c>
      <c r="L246" s="17"/>
      <c r="M246" s="17" t="s">
        <v>153</v>
      </c>
      <c r="N246" s="17"/>
    </row>
    <row r="247" customFormat="false" ht="15" hidden="false" customHeight="false" outlineLevel="0" collapsed="false">
      <c r="A247" s="4" t="n">
        <v>246</v>
      </c>
      <c r="B247" s="15" t="n">
        <v>46281</v>
      </c>
      <c r="C247" s="4" t="s">
        <v>29</v>
      </c>
      <c r="D247" s="4" t="s">
        <v>131</v>
      </c>
      <c r="E247" s="17" t="s">
        <v>132</v>
      </c>
      <c r="F247" s="4" t="s">
        <v>121</v>
      </c>
      <c r="G247" s="11" t="n">
        <v>20</v>
      </c>
      <c r="H247" s="4" t="s">
        <v>126</v>
      </c>
      <c r="I247" s="11"/>
      <c r="J247" s="11" t="str">
        <f aca="false">IF(AND(ISNUMBER(G247),ISNUMBER(I247)),I247-G247,"")</f>
        <v/>
      </c>
      <c r="K247" s="10" t="n">
        <f aca="false">IF(H247="Done",1,IF(H247="Partial",0.5,IF(H247="Planned","",0)))</f>
        <v>0</v>
      </c>
      <c r="L247" s="17"/>
      <c r="M247" s="17" t="s">
        <v>153</v>
      </c>
      <c r="N247" s="17" t="s">
        <v>133</v>
      </c>
    </row>
    <row r="248" customFormat="false" ht="23.85" hidden="false" customHeight="false" outlineLevel="0" collapsed="false">
      <c r="A248" s="4" t="n">
        <v>247</v>
      </c>
      <c r="B248" s="15" t="n">
        <v>46281</v>
      </c>
      <c r="C248" s="4" t="s">
        <v>31</v>
      </c>
      <c r="D248" s="4" t="s">
        <v>136</v>
      </c>
      <c r="E248" s="17" t="s">
        <v>137</v>
      </c>
      <c r="F248" s="4" t="s">
        <v>130</v>
      </c>
      <c r="G248" s="11" t="n">
        <v>120</v>
      </c>
      <c r="H248" s="4" t="s">
        <v>126</v>
      </c>
      <c r="I248" s="11"/>
      <c r="J248" s="11" t="str">
        <f aca="false">IF(AND(ISNUMBER(G248),ISNUMBER(I248)),I248-G248,"")</f>
        <v/>
      </c>
      <c r="K248" s="10" t="n">
        <f aca="false">IF(H248="Done",1,IF(H248="Partial",0.5,IF(H248="Planned","",0)))</f>
        <v>0</v>
      </c>
      <c r="L248" s="17"/>
      <c r="M248" s="17" t="s">
        <v>153</v>
      </c>
      <c r="N248" s="17" t="s">
        <v>123</v>
      </c>
    </row>
    <row r="249" customFormat="false" ht="23.85" hidden="false" customHeight="false" outlineLevel="0" collapsed="false">
      <c r="A249" s="4" t="n">
        <v>248</v>
      </c>
      <c r="B249" s="15" t="n">
        <v>46282</v>
      </c>
      <c r="C249" s="4" t="s">
        <v>31</v>
      </c>
      <c r="D249" s="4" t="s">
        <v>119</v>
      </c>
      <c r="E249" s="17" t="s">
        <v>120</v>
      </c>
      <c r="F249" s="4" t="s">
        <v>130</v>
      </c>
      <c r="G249" s="11" t="n">
        <v>60</v>
      </c>
      <c r="H249" s="4" t="s">
        <v>55</v>
      </c>
      <c r="I249" s="11" t="n">
        <v>103</v>
      </c>
      <c r="J249" s="11" t="n">
        <f aca="false">IF(AND(ISNUMBER(G249),ISNUMBER(I249)),I249-G249,"")</f>
        <v>43</v>
      </c>
      <c r="K249" s="10" t="n">
        <f aca="false">IF(H249="Done",1,IF(H249="Partial",0.5,IF(H249="Planned","",0)))</f>
        <v>1</v>
      </c>
      <c r="L249" s="17" t="s">
        <v>164</v>
      </c>
      <c r="M249" s="17"/>
      <c r="N249" s="17" t="s">
        <v>123</v>
      </c>
    </row>
    <row r="250" customFormat="false" ht="15" hidden="false" customHeight="false" outlineLevel="0" collapsed="false">
      <c r="A250" s="4" t="n">
        <v>249</v>
      </c>
      <c r="B250" s="15" t="n">
        <v>46282</v>
      </c>
      <c r="C250" s="4" t="s">
        <v>32</v>
      </c>
      <c r="D250" s="4" t="s">
        <v>144</v>
      </c>
      <c r="E250" s="17" t="s">
        <v>145</v>
      </c>
      <c r="F250" s="4" t="s">
        <v>121</v>
      </c>
      <c r="G250" s="11" t="n">
        <v>60</v>
      </c>
      <c r="H250" s="4" t="s">
        <v>55</v>
      </c>
      <c r="I250" s="11" t="n">
        <v>61</v>
      </c>
      <c r="J250" s="11" t="n">
        <f aca="false">IF(AND(ISNUMBER(G250),ISNUMBER(I250)),I250-G250,"")</f>
        <v>1</v>
      </c>
      <c r="K250" s="10" t="n">
        <f aca="false">IF(H250="Done",1,IF(H250="Partial",0.5,IF(H250="Planned","",0)))</f>
        <v>1</v>
      </c>
      <c r="L250" s="17"/>
      <c r="M250" s="17"/>
      <c r="N250" s="17"/>
    </row>
    <row r="251" customFormat="false" ht="15" hidden="false" customHeight="false" outlineLevel="0" collapsed="false">
      <c r="A251" s="4" t="n">
        <v>250</v>
      </c>
      <c r="B251" s="15" t="n">
        <v>46282</v>
      </c>
      <c r="C251" s="4" t="s">
        <v>31</v>
      </c>
      <c r="D251" s="4" t="s">
        <v>134</v>
      </c>
      <c r="E251" s="17" t="s">
        <v>135</v>
      </c>
      <c r="F251" s="4" t="s">
        <v>130</v>
      </c>
      <c r="G251" s="11" t="n">
        <v>45</v>
      </c>
      <c r="H251" s="4" t="s">
        <v>55</v>
      </c>
      <c r="I251" s="11" t="n">
        <v>44</v>
      </c>
      <c r="J251" s="11" t="n">
        <f aca="false">IF(AND(ISNUMBER(G251),ISNUMBER(I251)),I251-G251,"")</f>
        <v>-1</v>
      </c>
      <c r="K251" s="10" t="n">
        <f aca="false">IF(H251="Done",1,IF(H251="Partial",0.5,IF(H251="Planned","",0)))</f>
        <v>1</v>
      </c>
      <c r="L251" s="17"/>
      <c r="M251" s="17"/>
      <c r="N251" s="17"/>
    </row>
    <row r="252" customFormat="false" ht="15" hidden="false" customHeight="false" outlineLevel="0" collapsed="false">
      <c r="A252" s="4" t="n">
        <v>251</v>
      </c>
      <c r="B252" s="15" t="n">
        <v>46282</v>
      </c>
      <c r="C252" s="4" t="s">
        <v>33</v>
      </c>
      <c r="D252" s="4" t="s">
        <v>151</v>
      </c>
      <c r="E252" s="17" t="s">
        <v>152</v>
      </c>
      <c r="F252" s="4" t="s">
        <v>130</v>
      </c>
      <c r="G252" s="11" t="n">
        <v>30</v>
      </c>
      <c r="H252" s="4" t="s">
        <v>126</v>
      </c>
      <c r="I252" s="11"/>
      <c r="J252" s="11" t="str">
        <f aca="false">IF(AND(ISNUMBER(G252),ISNUMBER(I252)),I252-G252,"")</f>
        <v/>
      </c>
      <c r="K252" s="10" t="n">
        <f aca="false">IF(H252="Done",1,IF(H252="Partial",0.5,IF(H252="Planned","",0)))</f>
        <v>0</v>
      </c>
      <c r="L252" s="17"/>
      <c r="M252" s="17" t="s">
        <v>163</v>
      </c>
      <c r="N252" s="17"/>
    </row>
    <row r="253" customFormat="false" ht="15" hidden="false" customHeight="false" outlineLevel="0" collapsed="false">
      <c r="A253" s="4" t="n">
        <v>252</v>
      </c>
      <c r="B253" s="15" t="n">
        <v>46282</v>
      </c>
      <c r="C253" s="4" t="s">
        <v>31</v>
      </c>
      <c r="D253" s="4" t="s">
        <v>159</v>
      </c>
      <c r="E253" s="17" t="s">
        <v>160</v>
      </c>
      <c r="F253" s="4" t="s">
        <v>118</v>
      </c>
      <c r="G253" s="11" t="n">
        <v>60</v>
      </c>
      <c r="H253" s="4" t="s">
        <v>150</v>
      </c>
      <c r="I253" s="11"/>
      <c r="J253" s="11" t="str">
        <f aca="false">IF(AND(ISNUMBER(G253),ISNUMBER(I253)),I253-G253,"")</f>
        <v/>
      </c>
      <c r="K253" s="10" t="n">
        <f aca="false">IF(H253="Done",1,IF(H253="Partial",0.5,IF(H253="Planned","",0)))</f>
        <v>0</v>
      </c>
      <c r="L253" s="17"/>
      <c r="M253" s="17" t="s">
        <v>163</v>
      </c>
      <c r="N253" s="17"/>
    </row>
    <row r="254" customFormat="false" ht="15" hidden="false" customHeight="false" outlineLevel="0" collapsed="false">
      <c r="A254" s="4" t="n">
        <v>253</v>
      </c>
      <c r="B254" s="15" t="n">
        <v>46283</v>
      </c>
      <c r="C254" s="4" t="s">
        <v>32</v>
      </c>
      <c r="D254" s="4" t="s">
        <v>140</v>
      </c>
      <c r="E254" s="17" t="s">
        <v>141</v>
      </c>
      <c r="F254" s="4" t="s">
        <v>118</v>
      </c>
      <c r="G254" s="11" t="n">
        <v>45</v>
      </c>
      <c r="H254" s="4" t="s">
        <v>154</v>
      </c>
      <c r="I254" s="11"/>
      <c r="J254" s="11" t="str">
        <f aca="false">IF(AND(ISNUMBER(G254),ISNUMBER(I254)),I254-G254,"")</f>
        <v/>
      </c>
      <c r="K254" s="10" t="n">
        <f aca="false">IF(H254="Done",1,IF(H254="Partial",0.5,IF(H254="Planned","",0)))</f>
        <v>0</v>
      </c>
      <c r="L254" s="17"/>
      <c r="M254" s="17" t="s">
        <v>146</v>
      </c>
      <c r="N254" s="17" t="s">
        <v>143</v>
      </c>
    </row>
    <row r="255" customFormat="false" ht="15" hidden="false" customHeight="false" outlineLevel="0" collapsed="false">
      <c r="A255" s="4" t="n">
        <v>254</v>
      </c>
      <c r="B255" s="15" t="n">
        <v>46283</v>
      </c>
      <c r="C255" s="4" t="s">
        <v>29</v>
      </c>
      <c r="D255" s="4" t="s">
        <v>131</v>
      </c>
      <c r="E255" s="17" t="s">
        <v>132</v>
      </c>
      <c r="F255" s="4" t="s">
        <v>118</v>
      </c>
      <c r="G255" s="11" t="n">
        <v>20</v>
      </c>
      <c r="H255" s="4" t="s">
        <v>55</v>
      </c>
      <c r="I255" s="11" t="n">
        <v>23</v>
      </c>
      <c r="J255" s="11" t="n">
        <f aca="false">IF(AND(ISNUMBER(G255),ISNUMBER(I255)),I255-G255,"")</f>
        <v>3</v>
      </c>
      <c r="K255" s="10" t="n">
        <f aca="false">IF(H255="Done",1,IF(H255="Partial",0.5,IF(H255="Planned","",0)))</f>
        <v>1</v>
      </c>
      <c r="L255" s="17"/>
      <c r="M255" s="17"/>
      <c r="N255" s="17" t="s">
        <v>133</v>
      </c>
    </row>
    <row r="256" customFormat="false" ht="23.85" hidden="false" customHeight="false" outlineLevel="0" collapsed="false">
      <c r="A256" s="4" t="n">
        <v>255</v>
      </c>
      <c r="B256" s="15" t="n">
        <v>46283</v>
      </c>
      <c r="C256" s="4" t="s">
        <v>31</v>
      </c>
      <c r="D256" s="4" t="s">
        <v>119</v>
      </c>
      <c r="E256" s="17" t="s">
        <v>120</v>
      </c>
      <c r="F256" s="4" t="s">
        <v>130</v>
      </c>
      <c r="G256" s="11" t="n">
        <v>60</v>
      </c>
      <c r="H256" s="4" t="s">
        <v>150</v>
      </c>
      <c r="I256" s="11"/>
      <c r="J256" s="11" t="str">
        <f aca="false">IF(AND(ISNUMBER(G256),ISNUMBER(I256)),I256-G256,"")</f>
        <v/>
      </c>
      <c r="K256" s="10" t="n">
        <f aca="false">IF(H256="Done",1,IF(H256="Partial",0.5,IF(H256="Planned","",0)))</f>
        <v>0</v>
      </c>
      <c r="L256" s="17"/>
      <c r="M256" s="17" t="s">
        <v>153</v>
      </c>
      <c r="N256" s="17" t="s">
        <v>123</v>
      </c>
    </row>
    <row r="257" customFormat="false" ht="15" hidden="false" customHeight="false" outlineLevel="0" collapsed="false">
      <c r="A257" s="4" t="n">
        <v>256</v>
      </c>
      <c r="B257" s="15" t="n">
        <v>46283</v>
      </c>
      <c r="C257" s="4" t="s">
        <v>33</v>
      </c>
      <c r="D257" s="4" t="s">
        <v>151</v>
      </c>
      <c r="E257" s="17" t="s">
        <v>152</v>
      </c>
      <c r="F257" s="4" t="s">
        <v>118</v>
      </c>
      <c r="G257" s="11" t="n">
        <v>30</v>
      </c>
      <c r="H257" s="4" t="s">
        <v>55</v>
      </c>
      <c r="I257" s="11" t="n">
        <v>18</v>
      </c>
      <c r="J257" s="11" t="n">
        <f aca="false">IF(AND(ISNUMBER(G257),ISNUMBER(I257)),I257-G257,"")</f>
        <v>-12</v>
      </c>
      <c r="K257" s="10" t="n">
        <f aca="false">IF(H257="Done",1,IF(H257="Partial",0.5,IF(H257="Planned","",0)))</f>
        <v>1</v>
      </c>
      <c r="L257" s="17"/>
      <c r="M257" s="17"/>
      <c r="N257" s="17"/>
    </row>
    <row r="258" customFormat="false" ht="15" hidden="false" customHeight="false" outlineLevel="0" collapsed="false">
      <c r="A258" s="4" t="n">
        <v>257</v>
      </c>
      <c r="B258" s="15" t="n">
        <v>46283</v>
      </c>
      <c r="C258" s="4" t="s">
        <v>29</v>
      </c>
      <c r="D258" s="4" t="s">
        <v>116</v>
      </c>
      <c r="E258" s="17" t="s">
        <v>117</v>
      </c>
      <c r="F258" s="4" t="s">
        <v>130</v>
      </c>
      <c r="G258" s="11" t="n">
        <v>15</v>
      </c>
      <c r="H258" s="4" t="s">
        <v>55</v>
      </c>
      <c r="I258" s="11" t="n">
        <v>14</v>
      </c>
      <c r="J258" s="11" t="n">
        <f aca="false">IF(AND(ISNUMBER(G258),ISNUMBER(I258)),I258-G258,"")</f>
        <v>-1</v>
      </c>
      <c r="K258" s="10" t="n">
        <f aca="false">IF(H258="Done",1,IF(H258="Partial",0.5,IF(H258="Planned","",0)))</f>
        <v>1</v>
      </c>
      <c r="L258" s="17"/>
      <c r="M258" s="17"/>
      <c r="N258" s="17"/>
    </row>
    <row r="259" customFormat="false" ht="23.85" hidden="false" customHeight="false" outlineLevel="0" collapsed="false">
      <c r="A259" s="4" t="n">
        <v>258</v>
      </c>
      <c r="B259" s="15" t="n">
        <v>46284</v>
      </c>
      <c r="C259" s="4" t="s">
        <v>31</v>
      </c>
      <c r="D259" s="4" t="s">
        <v>119</v>
      </c>
      <c r="E259" s="17" t="s">
        <v>120</v>
      </c>
      <c r="F259" s="4" t="s">
        <v>130</v>
      </c>
      <c r="G259" s="11" t="n">
        <v>60</v>
      </c>
      <c r="H259" s="4" t="s">
        <v>126</v>
      </c>
      <c r="I259" s="11"/>
      <c r="J259" s="11" t="str">
        <f aca="false">IF(AND(ISNUMBER(G259),ISNUMBER(I259)),I259-G259,"")</f>
        <v/>
      </c>
      <c r="K259" s="10" t="n">
        <f aca="false">IF(H259="Done",1,IF(H259="Partial",0.5,IF(H259="Planned","",0)))</f>
        <v>0</v>
      </c>
      <c r="L259" s="17"/>
      <c r="M259" s="17" t="s">
        <v>163</v>
      </c>
      <c r="N259" s="17" t="s">
        <v>123</v>
      </c>
    </row>
    <row r="260" customFormat="false" ht="15" hidden="false" customHeight="false" outlineLevel="0" collapsed="false">
      <c r="A260" s="4" t="n">
        <v>259</v>
      </c>
      <c r="B260" s="15" t="n">
        <v>46284</v>
      </c>
      <c r="C260" s="4" t="s">
        <v>29</v>
      </c>
      <c r="D260" s="4" t="s">
        <v>116</v>
      </c>
      <c r="E260" s="17" t="s">
        <v>117</v>
      </c>
      <c r="F260" s="4" t="s">
        <v>130</v>
      </c>
      <c r="G260" s="11" t="n">
        <v>15</v>
      </c>
      <c r="H260" s="4" t="s">
        <v>55</v>
      </c>
      <c r="I260" s="11" t="n">
        <v>16</v>
      </c>
      <c r="J260" s="11" t="n">
        <f aca="false">IF(AND(ISNUMBER(G260),ISNUMBER(I260)),I260-G260,"")</f>
        <v>1</v>
      </c>
      <c r="K260" s="10" t="n">
        <f aca="false">IF(H260="Done",1,IF(H260="Partial",0.5,IF(H260="Planned","",0)))</f>
        <v>1</v>
      </c>
      <c r="L260" s="17"/>
      <c r="M260" s="17"/>
      <c r="N260" s="17"/>
    </row>
    <row r="261" customFormat="false" ht="23.85" hidden="false" customHeight="false" outlineLevel="0" collapsed="false">
      <c r="A261" s="4" t="n">
        <v>260</v>
      </c>
      <c r="B261" s="15" t="n">
        <v>46284</v>
      </c>
      <c r="C261" s="4" t="s">
        <v>31</v>
      </c>
      <c r="D261" s="4" t="s">
        <v>136</v>
      </c>
      <c r="E261" s="17" t="s">
        <v>137</v>
      </c>
      <c r="F261" s="4" t="s">
        <v>121</v>
      </c>
      <c r="G261" s="11" t="n">
        <v>120</v>
      </c>
      <c r="H261" s="4" t="s">
        <v>55</v>
      </c>
      <c r="I261" s="11" t="n">
        <v>155</v>
      </c>
      <c r="J261" s="11" t="n">
        <f aca="false">IF(AND(ISNUMBER(G261),ISNUMBER(I261)),I261-G261,"")</f>
        <v>35</v>
      </c>
      <c r="K261" s="10" t="n">
        <f aca="false">IF(H261="Done",1,IF(H261="Partial",0.5,IF(H261="Planned","",0)))</f>
        <v>1</v>
      </c>
      <c r="L261" s="17"/>
      <c r="M261" s="17"/>
      <c r="N261" s="17" t="s">
        <v>123</v>
      </c>
    </row>
    <row r="262" customFormat="false" ht="15" hidden="false" customHeight="false" outlineLevel="0" collapsed="false">
      <c r="A262" s="4" t="n">
        <v>261</v>
      </c>
      <c r="B262" s="15" t="n">
        <v>46284</v>
      </c>
      <c r="C262" s="4" t="s">
        <v>29</v>
      </c>
      <c r="D262" s="4" t="s">
        <v>131</v>
      </c>
      <c r="E262" s="17" t="s">
        <v>132</v>
      </c>
      <c r="F262" s="4" t="s">
        <v>118</v>
      </c>
      <c r="G262" s="11" t="n">
        <v>20</v>
      </c>
      <c r="H262" s="4" t="s">
        <v>126</v>
      </c>
      <c r="I262" s="11"/>
      <c r="J262" s="11" t="str">
        <f aca="false">IF(AND(ISNUMBER(G262),ISNUMBER(I262)),I262-G262,"")</f>
        <v/>
      </c>
      <c r="K262" s="10" t="n">
        <f aca="false">IF(H262="Done",1,IF(H262="Partial",0.5,IF(H262="Planned","",0)))</f>
        <v>0</v>
      </c>
      <c r="L262" s="17"/>
      <c r="M262" s="17" t="s">
        <v>127</v>
      </c>
      <c r="N262" s="17" t="s">
        <v>133</v>
      </c>
    </row>
    <row r="263" customFormat="false" ht="15" hidden="false" customHeight="false" outlineLevel="0" collapsed="false">
      <c r="A263" s="4" t="n">
        <v>262</v>
      </c>
      <c r="B263" s="15" t="n">
        <v>46284</v>
      </c>
      <c r="C263" s="4" t="s">
        <v>35</v>
      </c>
      <c r="D263" s="4" t="s">
        <v>148</v>
      </c>
      <c r="E263" s="17" t="s">
        <v>149</v>
      </c>
      <c r="F263" s="4" t="s">
        <v>121</v>
      </c>
      <c r="G263" s="11" t="n">
        <v>30</v>
      </c>
      <c r="H263" s="4" t="s">
        <v>126</v>
      </c>
      <c r="I263" s="11"/>
      <c r="J263" s="11" t="str">
        <f aca="false">IF(AND(ISNUMBER(G263),ISNUMBER(I263)),I263-G263,"")</f>
        <v/>
      </c>
      <c r="K263" s="10" t="n">
        <f aca="false">IF(H263="Done",1,IF(H263="Partial",0.5,IF(H263="Planned","",0)))</f>
        <v>0</v>
      </c>
      <c r="L263" s="17"/>
      <c r="M263" s="17" t="s">
        <v>146</v>
      </c>
      <c r="N263" s="17"/>
    </row>
    <row r="264" customFormat="false" ht="15" hidden="false" customHeight="false" outlineLevel="0" collapsed="false">
      <c r="A264" s="4" t="n">
        <v>263</v>
      </c>
      <c r="B264" s="15" t="n">
        <v>46284</v>
      </c>
      <c r="C264" s="4" t="s">
        <v>32</v>
      </c>
      <c r="D264" s="4" t="s">
        <v>144</v>
      </c>
      <c r="E264" s="17" t="s">
        <v>145</v>
      </c>
      <c r="F264" s="4" t="s">
        <v>130</v>
      </c>
      <c r="G264" s="11" t="n">
        <v>60</v>
      </c>
      <c r="H264" s="4" t="s">
        <v>126</v>
      </c>
      <c r="I264" s="11"/>
      <c r="J264" s="11" t="str">
        <f aca="false">IF(AND(ISNUMBER(G264),ISNUMBER(I264)),I264-G264,"")</f>
        <v/>
      </c>
      <c r="K264" s="10" t="n">
        <f aca="false">IF(H264="Done",1,IF(H264="Partial",0.5,IF(H264="Planned","",0)))</f>
        <v>0</v>
      </c>
      <c r="L264" s="17"/>
      <c r="M264" s="17" t="s">
        <v>147</v>
      </c>
      <c r="N264" s="17"/>
    </row>
    <row r="265" customFormat="false" ht="15" hidden="false" customHeight="false" outlineLevel="0" collapsed="false">
      <c r="A265" s="4" t="n">
        <v>264</v>
      </c>
      <c r="B265" s="15" t="n">
        <v>46285</v>
      </c>
      <c r="C265" s="4" t="s">
        <v>32</v>
      </c>
      <c r="D265" s="4" t="s">
        <v>144</v>
      </c>
      <c r="E265" s="17" t="s">
        <v>145</v>
      </c>
      <c r="F265" s="4" t="s">
        <v>130</v>
      </c>
      <c r="G265" s="11" t="n">
        <v>60</v>
      </c>
      <c r="H265" s="4" t="s">
        <v>55</v>
      </c>
      <c r="I265" s="11" t="n">
        <v>54</v>
      </c>
      <c r="J265" s="11" t="n">
        <f aca="false">IF(AND(ISNUMBER(G265),ISNUMBER(I265)),I265-G265,"")</f>
        <v>-6</v>
      </c>
      <c r="K265" s="10" t="n">
        <f aca="false">IF(H265="Done",1,IF(H265="Partial",0.5,IF(H265="Planned","",0)))</f>
        <v>1</v>
      </c>
      <c r="L265" s="17"/>
      <c r="M265" s="17"/>
      <c r="N265" s="17"/>
    </row>
    <row r="266" customFormat="false" ht="15" hidden="false" customHeight="false" outlineLevel="0" collapsed="false">
      <c r="A266" s="4" t="n">
        <v>265</v>
      </c>
      <c r="B266" s="15" t="n">
        <v>46285</v>
      </c>
      <c r="C266" s="4" t="s">
        <v>33</v>
      </c>
      <c r="D266" s="4" t="s">
        <v>151</v>
      </c>
      <c r="E266" s="17" t="s">
        <v>152</v>
      </c>
      <c r="F266" s="4" t="s">
        <v>121</v>
      </c>
      <c r="G266" s="11" t="n">
        <v>30</v>
      </c>
      <c r="H266" s="4" t="s">
        <v>150</v>
      </c>
      <c r="I266" s="11"/>
      <c r="J266" s="11" t="str">
        <f aca="false">IF(AND(ISNUMBER(G266),ISNUMBER(I266)),I266-G266,"")</f>
        <v/>
      </c>
      <c r="K266" s="10" t="n">
        <f aca="false">IF(H266="Done",1,IF(H266="Partial",0.5,IF(H266="Planned","",0)))</f>
        <v>0</v>
      </c>
      <c r="L266" s="17"/>
      <c r="M266" s="17" t="s">
        <v>153</v>
      </c>
      <c r="N266" s="17"/>
    </row>
    <row r="267" customFormat="false" ht="15" hidden="false" customHeight="false" outlineLevel="0" collapsed="false">
      <c r="A267" s="4" t="n">
        <v>266</v>
      </c>
      <c r="B267" s="15" t="n">
        <v>46285</v>
      </c>
      <c r="C267" s="4" t="s">
        <v>29</v>
      </c>
      <c r="D267" s="4" t="s">
        <v>116</v>
      </c>
      <c r="E267" s="17" t="s">
        <v>117</v>
      </c>
      <c r="F267" s="4" t="s">
        <v>121</v>
      </c>
      <c r="G267" s="11" t="n">
        <v>15</v>
      </c>
      <c r="H267" s="4" t="s">
        <v>55</v>
      </c>
      <c r="I267" s="11" t="n">
        <v>19</v>
      </c>
      <c r="J267" s="11" t="n">
        <f aca="false">IF(AND(ISNUMBER(G267),ISNUMBER(I267)),I267-G267,"")</f>
        <v>4</v>
      </c>
      <c r="K267" s="10" t="n">
        <f aca="false">IF(H267="Done",1,IF(H267="Partial",0.5,IF(H267="Planned","",0)))</f>
        <v>1</v>
      </c>
      <c r="L267" s="17"/>
      <c r="M267" s="17"/>
      <c r="N267" s="17"/>
    </row>
    <row r="268" customFormat="false" ht="23.85" hidden="false" customHeight="false" outlineLevel="0" collapsed="false">
      <c r="A268" s="4" t="n">
        <v>267</v>
      </c>
      <c r="B268" s="15" t="n">
        <v>46285</v>
      </c>
      <c r="C268" s="4" t="s">
        <v>31</v>
      </c>
      <c r="D268" s="4" t="s">
        <v>119</v>
      </c>
      <c r="E268" s="17" t="s">
        <v>120</v>
      </c>
      <c r="F268" s="4" t="s">
        <v>130</v>
      </c>
      <c r="G268" s="11" t="n">
        <v>60</v>
      </c>
      <c r="H268" s="4" t="s">
        <v>55</v>
      </c>
      <c r="I268" s="11" t="n">
        <v>62</v>
      </c>
      <c r="J268" s="11" t="n">
        <f aca="false">IF(AND(ISNUMBER(G268),ISNUMBER(I268)),I268-G268,"")</f>
        <v>2</v>
      </c>
      <c r="K268" s="10" t="n">
        <f aca="false">IF(H268="Done",1,IF(H268="Partial",0.5,IF(H268="Planned","",0)))</f>
        <v>1</v>
      </c>
      <c r="L268" s="17" t="s">
        <v>122</v>
      </c>
      <c r="M268" s="17"/>
      <c r="N268" s="17" t="s">
        <v>123</v>
      </c>
    </row>
    <row r="269" customFormat="false" ht="23.85" hidden="false" customHeight="false" outlineLevel="0" collapsed="false">
      <c r="A269" s="4" t="n">
        <v>268</v>
      </c>
      <c r="B269" s="15" t="n">
        <v>46286</v>
      </c>
      <c r="C269" s="4" t="s">
        <v>31</v>
      </c>
      <c r="D269" s="4" t="s">
        <v>136</v>
      </c>
      <c r="E269" s="17" t="s">
        <v>137</v>
      </c>
      <c r="F269" s="4" t="s">
        <v>130</v>
      </c>
      <c r="G269" s="11" t="n">
        <v>120</v>
      </c>
      <c r="H269" s="4" t="s">
        <v>150</v>
      </c>
      <c r="I269" s="11"/>
      <c r="J269" s="11" t="str">
        <f aca="false">IF(AND(ISNUMBER(G269),ISNUMBER(I269)),I269-G269,"")</f>
        <v/>
      </c>
      <c r="K269" s="10" t="n">
        <f aca="false">IF(H269="Done",1,IF(H269="Partial",0.5,IF(H269="Planned","",0)))</f>
        <v>0</v>
      </c>
      <c r="L269" s="17"/>
      <c r="M269" s="17" t="s">
        <v>147</v>
      </c>
      <c r="N269" s="17" t="s">
        <v>123</v>
      </c>
    </row>
    <row r="270" customFormat="false" ht="23.85" hidden="false" customHeight="false" outlineLevel="0" collapsed="false">
      <c r="A270" s="4" t="n">
        <v>269</v>
      </c>
      <c r="B270" s="15" t="n">
        <v>46286</v>
      </c>
      <c r="C270" s="4" t="s">
        <v>31</v>
      </c>
      <c r="D270" s="4" t="s">
        <v>119</v>
      </c>
      <c r="E270" s="17" t="s">
        <v>120</v>
      </c>
      <c r="F270" s="4" t="s">
        <v>118</v>
      </c>
      <c r="G270" s="11" t="n">
        <v>60</v>
      </c>
      <c r="H270" s="4" t="s">
        <v>55</v>
      </c>
      <c r="I270" s="11" t="n">
        <v>63</v>
      </c>
      <c r="J270" s="11" t="n">
        <f aca="false">IF(AND(ISNUMBER(G270),ISNUMBER(I270)),I270-G270,"")</f>
        <v>3</v>
      </c>
      <c r="K270" s="10" t="n">
        <f aca="false">IF(H270="Done",1,IF(H270="Partial",0.5,IF(H270="Planned","",0)))</f>
        <v>1</v>
      </c>
      <c r="L270" s="17"/>
      <c r="M270" s="17"/>
      <c r="N270" s="17" t="s">
        <v>123</v>
      </c>
    </row>
    <row r="271" customFormat="false" ht="15" hidden="false" customHeight="false" outlineLevel="0" collapsed="false">
      <c r="A271" s="4" t="n">
        <v>270</v>
      </c>
      <c r="B271" s="15" t="n">
        <v>46287</v>
      </c>
      <c r="C271" s="4" t="s">
        <v>33</v>
      </c>
      <c r="D271" s="4" t="s">
        <v>151</v>
      </c>
      <c r="E271" s="17" t="s">
        <v>152</v>
      </c>
      <c r="F271" s="4" t="s">
        <v>130</v>
      </c>
      <c r="G271" s="11" t="n">
        <v>30</v>
      </c>
      <c r="H271" s="4" t="s">
        <v>150</v>
      </c>
      <c r="I271" s="11"/>
      <c r="J271" s="11" t="str">
        <f aca="false">IF(AND(ISNUMBER(G271),ISNUMBER(I271)),I271-G271,"")</f>
        <v/>
      </c>
      <c r="K271" s="10" t="n">
        <f aca="false">IF(H271="Done",1,IF(H271="Partial",0.5,IF(H271="Planned","",0)))</f>
        <v>0</v>
      </c>
      <c r="L271" s="17"/>
      <c r="M271" s="17" t="s">
        <v>153</v>
      </c>
      <c r="N271" s="17"/>
    </row>
    <row r="272" customFormat="false" ht="15" hidden="false" customHeight="false" outlineLevel="0" collapsed="false">
      <c r="A272" s="4" t="n">
        <v>271</v>
      </c>
      <c r="B272" s="15" t="n">
        <v>46287</v>
      </c>
      <c r="C272" s="4" t="s">
        <v>30</v>
      </c>
      <c r="D272" s="4" t="s">
        <v>128</v>
      </c>
      <c r="E272" s="17" t="s">
        <v>129</v>
      </c>
      <c r="F272" s="4" t="s">
        <v>130</v>
      </c>
      <c r="G272" s="11" t="n">
        <v>40</v>
      </c>
      <c r="H272" s="4" t="s">
        <v>126</v>
      </c>
      <c r="I272" s="11"/>
      <c r="J272" s="11" t="str">
        <f aca="false">IF(AND(ISNUMBER(G272),ISNUMBER(I272)),I272-G272,"")</f>
        <v/>
      </c>
      <c r="K272" s="10" t="n">
        <f aca="false">IF(H272="Done",1,IF(H272="Partial",0.5,IF(H272="Planned","",0)))</f>
        <v>0</v>
      </c>
      <c r="L272" s="17"/>
      <c r="M272" s="17" t="s">
        <v>147</v>
      </c>
      <c r="N272" s="17"/>
    </row>
    <row r="273" customFormat="false" ht="15" hidden="false" customHeight="false" outlineLevel="0" collapsed="false">
      <c r="A273" s="4" t="n">
        <v>272</v>
      </c>
      <c r="B273" s="15" t="n">
        <v>46287</v>
      </c>
      <c r="C273" s="4" t="s">
        <v>35</v>
      </c>
      <c r="D273" s="4" t="s">
        <v>148</v>
      </c>
      <c r="E273" s="17" t="s">
        <v>149</v>
      </c>
      <c r="F273" s="4" t="s">
        <v>130</v>
      </c>
      <c r="G273" s="11" t="n">
        <v>30</v>
      </c>
      <c r="H273" s="4" t="s">
        <v>126</v>
      </c>
      <c r="I273" s="11"/>
      <c r="J273" s="11" t="str">
        <f aca="false">IF(AND(ISNUMBER(G273),ISNUMBER(I273)),I273-G273,"")</f>
        <v/>
      </c>
      <c r="K273" s="10" t="n">
        <f aca="false">IF(H273="Done",1,IF(H273="Partial",0.5,IF(H273="Planned","",0)))</f>
        <v>0</v>
      </c>
      <c r="L273" s="17"/>
      <c r="M273" s="17" t="s">
        <v>153</v>
      </c>
      <c r="N273" s="17"/>
    </row>
    <row r="274" customFormat="false" ht="15" hidden="false" customHeight="false" outlineLevel="0" collapsed="false">
      <c r="A274" s="4" t="n">
        <v>273</v>
      </c>
      <c r="B274" s="15" t="n">
        <v>46288</v>
      </c>
      <c r="C274" s="4" t="s">
        <v>35</v>
      </c>
      <c r="D274" s="4" t="s">
        <v>148</v>
      </c>
      <c r="E274" s="17" t="s">
        <v>149</v>
      </c>
      <c r="F274" s="4" t="s">
        <v>121</v>
      </c>
      <c r="G274" s="11" t="n">
        <v>30</v>
      </c>
      <c r="H274" s="4" t="s">
        <v>55</v>
      </c>
      <c r="I274" s="11" t="n">
        <v>31</v>
      </c>
      <c r="J274" s="11" t="n">
        <f aca="false">IF(AND(ISNUMBER(G274),ISNUMBER(I274)),I274-G274,"")</f>
        <v>1</v>
      </c>
      <c r="K274" s="10" t="n">
        <f aca="false">IF(H274="Done",1,IF(H274="Partial",0.5,IF(H274="Planned","",0)))</f>
        <v>1</v>
      </c>
      <c r="L274" s="17"/>
      <c r="M274" s="17"/>
      <c r="N274" s="17"/>
    </row>
    <row r="275" customFormat="false" ht="23.85" hidden="false" customHeight="false" outlineLevel="0" collapsed="false">
      <c r="A275" s="4" t="n">
        <v>274</v>
      </c>
      <c r="B275" s="15" t="n">
        <v>46288</v>
      </c>
      <c r="C275" s="4" t="s">
        <v>31</v>
      </c>
      <c r="D275" s="4" t="s">
        <v>119</v>
      </c>
      <c r="E275" s="17" t="s">
        <v>120</v>
      </c>
      <c r="F275" s="4" t="s">
        <v>121</v>
      </c>
      <c r="G275" s="11" t="n">
        <v>60</v>
      </c>
      <c r="H275" s="4" t="s">
        <v>55</v>
      </c>
      <c r="I275" s="11" t="n">
        <v>116</v>
      </c>
      <c r="J275" s="11" t="n">
        <f aca="false">IF(AND(ISNUMBER(G275),ISNUMBER(I275)),I275-G275,"")</f>
        <v>56</v>
      </c>
      <c r="K275" s="10" t="n">
        <f aca="false">IF(H275="Done",1,IF(H275="Partial",0.5,IF(H275="Planned","",0)))</f>
        <v>1</v>
      </c>
      <c r="L275" s="17"/>
      <c r="M275" s="17"/>
      <c r="N275" s="17" t="s">
        <v>123</v>
      </c>
    </row>
    <row r="276" customFormat="false" ht="15" hidden="false" customHeight="false" outlineLevel="0" collapsed="false">
      <c r="A276" s="4" t="n">
        <v>275</v>
      </c>
      <c r="B276" s="15" t="n">
        <v>46288</v>
      </c>
      <c r="C276" s="4" t="s">
        <v>30</v>
      </c>
      <c r="D276" s="4" t="s">
        <v>128</v>
      </c>
      <c r="E276" s="17" t="s">
        <v>129</v>
      </c>
      <c r="F276" s="4" t="s">
        <v>130</v>
      </c>
      <c r="G276" s="11" t="n">
        <v>40</v>
      </c>
      <c r="H276" s="4" t="s">
        <v>55</v>
      </c>
      <c r="I276" s="11" t="n">
        <v>35</v>
      </c>
      <c r="J276" s="11" t="n">
        <f aca="false">IF(AND(ISNUMBER(G276),ISNUMBER(I276)),I276-G276,"")</f>
        <v>-5</v>
      </c>
      <c r="K276" s="10" t="n">
        <f aca="false">IF(H276="Done",1,IF(H276="Partial",0.5,IF(H276="Planned","",0)))</f>
        <v>1</v>
      </c>
      <c r="L276" s="17"/>
      <c r="M276" s="17"/>
      <c r="N276" s="17"/>
    </row>
    <row r="277" customFormat="false" ht="15" hidden="false" customHeight="false" outlineLevel="0" collapsed="false">
      <c r="A277" s="4" t="n">
        <v>276</v>
      </c>
      <c r="B277" s="15" t="n">
        <v>46289</v>
      </c>
      <c r="C277" s="4" t="s">
        <v>33</v>
      </c>
      <c r="D277" s="4" t="s">
        <v>151</v>
      </c>
      <c r="E277" s="17" t="s">
        <v>152</v>
      </c>
      <c r="F277" s="4" t="s">
        <v>121</v>
      </c>
      <c r="G277" s="11" t="n">
        <v>30</v>
      </c>
      <c r="H277" s="4" t="s">
        <v>55</v>
      </c>
      <c r="I277" s="11" t="n">
        <v>15</v>
      </c>
      <c r="J277" s="11" t="n">
        <f aca="false">IF(AND(ISNUMBER(G277),ISNUMBER(I277)),I277-G277,"")</f>
        <v>-15</v>
      </c>
      <c r="K277" s="10" t="n">
        <f aca="false">IF(H277="Done",1,IF(H277="Partial",0.5,IF(H277="Planned","",0)))</f>
        <v>1</v>
      </c>
      <c r="L277" s="17"/>
      <c r="M277" s="17"/>
      <c r="N277" s="17"/>
    </row>
    <row r="278" customFormat="false" ht="23.85" hidden="false" customHeight="false" outlineLevel="0" collapsed="false">
      <c r="A278" s="4" t="n">
        <v>277</v>
      </c>
      <c r="B278" s="15" t="n">
        <v>46289</v>
      </c>
      <c r="C278" s="4" t="s">
        <v>31</v>
      </c>
      <c r="D278" s="4" t="s">
        <v>119</v>
      </c>
      <c r="E278" s="17" t="s">
        <v>120</v>
      </c>
      <c r="F278" s="4" t="s">
        <v>118</v>
      </c>
      <c r="G278" s="11" t="n">
        <v>60</v>
      </c>
      <c r="H278" s="4" t="s">
        <v>154</v>
      </c>
      <c r="I278" s="11"/>
      <c r="J278" s="11" t="str">
        <f aca="false">IF(AND(ISNUMBER(G278),ISNUMBER(I278)),I278-G278,"")</f>
        <v/>
      </c>
      <c r="K278" s="10" t="n">
        <f aca="false">IF(H278="Done",1,IF(H278="Partial",0.5,IF(H278="Planned","",0)))</f>
        <v>0</v>
      </c>
      <c r="L278" s="17"/>
      <c r="M278" s="17" t="s">
        <v>153</v>
      </c>
      <c r="N278" s="17" t="s">
        <v>123</v>
      </c>
    </row>
    <row r="279" customFormat="false" ht="15" hidden="false" customHeight="false" outlineLevel="0" collapsed="false">
      <c r="A279" s="4" t="n">
        <v>278</v>
      </c>
      <c r="B279" s="15" t="n">
        <v>46289</v>
      </c>
      <c r="C279" s="4" t="s">
        <v>34</v>
      </c>
      <c r="D279" s="4" t="s">
        <v>124</v>
      </c>
      <c r="E279" s="17" t="s">
        <v>125</v>
      </c>
      <c r="F279" s="4" t="s">
        <v>130</v>
      </c>
      <c r="G279" s="11" t="n">
        <v>20</v>
      </c>
      <c r="H279" s="4" t="s">
        <v>126</v>
      </c>
      <c r="I279" s="11"/>
      <c r="J279" s="11" t="str">
        <f aca="false">IF(AND(ISNUMBER(G279),ISNUMBER(I279)),I279-G279,"")</f>
        <v/>
      </c>
      <c r="K279" s="10" t="n">
        <f aca="false">IF(H279="Done",1,IF(H279="Partial",0.5,IF(H279="Planned","",0)))</f>
        <v>0</v>
      </c>
      <c r="L279" s="17"/>
      <c r="M279" s="17" t="s">
        <v>153</v>
      </c>
      <c r="N279" s="17"/>
    </row>
    <row r="280" customFormat="false" ht="15" hidden="false" customHeight="false" outlineLevel="0" collapsed="false">
      <c r="A280" s="4" t="n">
        <v>279</v>
      </c>
      <c r="B280" s="15" t="n">
        <v>46289</v>
      </c>
      <c r="C280" s="4" t="s">
        <v>29</v>
      </c>
      <c r="D280" s="4" t="s">
        <v>131</v>
      </c>
      <c r="E280" s="17" t="s">
        <v>132</v>
      </c>
      <c r="F280" s="4" t="s">
        <v>121</v>
      </c>
      <c r="G280" s="11" t="n">
        <v>20</v>
      </c>
      <c r="H280" s="4" t="s">
        <v>55</v>
      </c>
      <c r="I280" s="11" t="n">
        <v>27</v>
      </c>
      <c r="J280" s="11" t="n">
        <f aca="false">IF(AND(ISNUMBER(G280),ISNUMBER(I280)),I280-G280,"")</f>
        <v>7</v>
      </c>
      <c r="K280" s="10" t="n">
        <f aca="false">IF(H280="Done",1,IF(H280="Partial",0.5,IF(H280="Planned","",0)))</f>
        <v>1</v>
      </c>
      <c r="L280" s="17"/>
      <c r="M280" s="17"/>
      <c r="N280" s="17" t="s">
        <v>133</v>
      </c>
    </row>
    <row r="281" customFormat="false" ht="15" hidden="false" customHeight="false" outlineLevel="0" collapsed="false">
      <c r="A281" s="4" t="n">
        <v>280</v>
      </c>
      <c r="B281" s="15" t="n">
        <v>46289</v>
      </c>
      <c r="C281" s="4" t="s">
        <v>32</v>
      </c>
      <c r="D281" s="4" t="s">
        <v>144</v>
      </c>
      <c r="E281" s="17" t="s">
        <v>145</v>
      </c>
      <c r="F281" s="4" t="s">
        <v>118</v>
      </c>
      <c r="G281" s="11" t="n">
        <v>60</v>
      </c>
      <c r="H281" s="4" t="s">
        <v>126</v>
      </c>
      <c r="I281" s="11"/>
      <c r="J281" s="11" t="str">
        <f aca="false">IF(AND(ISNUMBER(G281),ISNUMBER(I281)),I281-G281,"")</f>
        <v/>
      </c>
      <c r="K281" s="10" t="n">
        <f aca="false">IF(H281="Done",1,IF(H281="Partial",0.5,IF(H281="Planned","",0)))</f>
        <v>0</v>
      </c>
      <c r="L281" s="17"/>
      <c r="M281" s="17" t="s">
        <v>146</v>
      </c>
      <c r="N281" s="17"/>
    </row>
    <row r="282" customFormat="false" ht="15" hidden="false" customHeight="false" outlineLevel="0" collapsed="false">
      <c r="A282" s="4" t="n">
        <v>281</v>
      </c>
      <c r="B282" s="15" t="n">
        <v>46289</v>
      </c>
      <c r="C282" s="4" t="s">
        <v>29</v>
      </c>
      <c r="D282" s="4" t="s">
        <v>116</v>
      </c>
      <c r="E282" s="17" t="s">
        <v>117</v>
      </c>
      <c r="F282" s="4" t="s">
        <v>121</v>
      </c>
      <c r="G282" s="11" t="n">
        <v>15</v>
      </c>
      <c r="H282" s="4" t="s">
        <v>55</v>
      </c>
      <c r="I282" s="11" t="n">
        <v>17</v>
      </c>
      <c r="J282" s="11" t="n">
        <f aca="false">IF(AND(ISNUMBER(G282),ISNUMBER(I282)),I282-G282,"")</f>
        <v>2</v>
      </c>
      <c r="K282" s="10" t="n">
        <f aca="false">IF(H282="Done",1,IF(H282="Partial",0.5,IF(H282="Planned","",0)))</f>
        <v>1</v>
      </c>
      <c r="L282" s="17"/>
      <c r="M282" s="17"/>
      <c r="N282" s="17"/>
    </row>
    <row r="283" customFormat="false" ht="15" hidden="false" customHeight="false" outlineLevel="0" collapsed="false">
      <c r="A283" s="4" t="n">
        <v>282</v>
      </c>
      <c r="B283" s="15" t="n">
        <v>46291</v>
      </c>
      <c r="C283" s="4" t="s">
        <v>29</v>
      </c>
      <c r="D283" s="4" t="s">
        <v>116</v>
      </c>
      <c r="E283" s="17" t="s">
        <v>117</v>
      </c>
      <c r="F283" s="4" t="s">
        <v>130</v>
      </c>
      <c r="G283" s="11" t="n">
        <v>15</v>
      </c>
      <c r="H283" s="4" t="s">
        <v>139</v>
      </c>
      <c r="I283" s="11" t="n">
        <v>12</v>
      </c>
      <c r="J283" s="11" t="n">
        <f aca="false">IF(AND(ISNUMBER(G283),ISNUMBER(I283)),I283-G283,"")</f>
        <v>-3</v>
      </c>
      <c r="K283" s="10" t="n">
        <f aca="false">IF(H283="Done",1,IF(H283="Partial",0.5,IF(H283="Planned","",0)))</f>
        <v>0.5</v>
      </c>
      <c r="L283" s="17"/>
      <c r="M283" s="17"/>
      <c r="N283" s="17"/>
    </row>
    <row r="284" customFormat="false" ht="15" hidden="false" customHeight="false" outlineLevel="0" collapsed="false">
      <c r="A284" s="4" t="n">
        <v>283</v>
      </c>
      <c r="B284" s="15" t="n">
        <v>46291</v>
      </c>
      <c r="C284" s="4" t="s">
        <v>32</v>
      </c>
      <c r="D284" s="4" t="s">
        <v>140</v>
      </c>
      <c r="E284" s="17" t="s">
        <v>141</v>
      </c>
      <c r="F284" s="4" t="s">
        <v>121</v>
      </c>
      <c r="G284" s="11" t="n">
        <v>45</v>
      </c>
      <c r="H284" s="4" t="s">
        <v>150</v>
      </c>
      <c r="I284" s="11"/>
      <c r="J284" s="11" t="str">
        <f aca="false">IF(AND(ISNUMBER(G284),ISNUMBER(I284)),I284-G284,"")</f>
        <v/>
      </c>
      <c r="K284" s="10" t="n">
        <f aca="false">IF(H284="Done",1,IF(H284="Partial",0.5,IF(H284="Planned","",0)))</f>
        <v>0</v>
      </c>
      <c r="L284" s="17"/>
      <c r="M284" s="17" t="s">
        <v>155</v>
      </c>
      <c r="N284" s="17" t="s">
        <v>143</v>
      </c>
    </row>
    <row r="285" customFormat="false" ht="23.85" hidden="false" customHeight="false" outlineLevel="0" collapsed="false">
      <c r="A285" s="4" t="n">
        <v>284</v>
      </c>
      <c r="B285" s="15" t="n">
        <v>46291</v>
      </c>
      <c r="C285" s="4" t="s">
        <v>31</v>
      </c>
      <c r="D285" s="4" t="s">
        <v>119</v>
      </c>
      <c r="E285" s="17" t="s">
        <v>120</v>
      </c>
      <c r="F285" s="4" t="s">
        <v>130</v>
      </c>
      <c r="G285" s="11" t="n">
        <v>60</v>
      </c>
      <c r="H285" s="4" t="s">
        <v>55</v>
      </c>
      <c r="I285" s="11" t="n">
        <v>78</v>
      </c>
      <c r="J285" s="11" t="n">
        <f aca="false">IF(AND(ISNUMBER(G285),ISNUMBER(I285)),I285-G285,"")</f>
        <v>18</v>
      </c>
      <c r="K285" s="10" t="n">
        <f aca="false">IF(H285="Done",1,IF(H285="Partial",0.5,IF(H285="Planned","",0)))</f>
        <v>1</v>
      </c>
      <c r="L285" s="17" t="s">
        <v>164</v>
      </c>
      <c r="M285" s="17"/>
      <c r="N285" s="17" t="s">
        <v>123</v>
      </c>
    </row>
    <row r="286" customFormat="false" ht="15" hidden="false" customHeight="false" outlineLevel="0" collapsed="false">
      <c r="A286" s="4" t="n">
        <v>285</v>
      </c>
      <c r="B286" s="15" t="n">
        <v>46292</v>
      </c>
      <c r="C286" s="4" t="s">
        <v>31</v>
      </c>
      <c r="D286" s="4" t="s">
        <v>159</v>
      </c>
      <c r="E286" s="17" t="s">
        <v>160</v>
      </c>
      <c r="F286" s="4" t="s">
        <v>118</v>
      </c>
      <c r="G286" s="11" t="n">
        <v>60</v>
      </c>
      <c r="H286" s="4" t="s">
        <v>55</v>
      </c>
      <c r="I286" s="11" t="n">
        <v>87</v>
      </c>
      <c r="J286" s="11" t="n">
        <f aca="false">IF(AND(ISNUMBER(G286),ISNUMBER(I286)),I286-G286,"")</f>
        <v>27</v>
      </c>
      <c r="K286" s="10" t="n">
        <f aca="false">IF(H286="Done",1,IF(H286="Partial",0.5,IF(H286="Planned","",0)))</f>
        <v>1</v>
      </c>
      <c r="L286" s="17"/>
      <c r="M286" s="17"/>
      <c r="N286" s="17"/>
    </row>
    <row r="287" customFormat="false" ht="15" hidden="false" customHeight="false" outlineLevel="0" collapsed="false">
      <c r="A287" s="4" t="n">
        <v>286</v>
      </c>
      <c r="B287" s="15" t="n">
        <v>46292</v>
      </c>
      <c r="C287" s="4" t="s">
        <v>31</v>
      </c>
      <c r="D287" s="4" t="s">
        <v>134</v>
      </c>
      <c r="E287" s="17" t="s">
        <v>135</v>
      </c>
      <c r="F287" s="4" t="s">
        <v>121</v>
      </c>
      <c r="G287" s="11" t="n">
        <v>45</v>
      </c>
      <c r="H287" s="4" t="s">
        <v>126</v>
      </c>
      <c r="I287" s="11"/>
      <c r="J287" s="11" t="str">
        <f aca="false">IF(AND(ISNUMBER(G287),ISNUMBER(I287)),I287-G287,"")</f>
        <v/>
      </c>
      <c r="K287" s="10" t="n">
        <f aca="false">IF(H287="Done",1,IF(H287="Partial",0.5,IF(H287="Planned","",0)))</f>
        <v>0</v>
      </c>
      <c r="L287" s="17"/>
      <c r="M287" s="17" t="s">
        <v>153</v>
      </c>
      <c r="N287" s="17"/>
    </row>
    <row r="288" customFormat="false" ht="15" hidden="false" customHeight="false" outlineLevel="0" collapsed="false">
      <c r="A288" s="4" t="n">
        <v>287</v>
      </c>
      <c r="B288" s="15" t="n">
        <v>46292</v>
      </c>
      <c r="C288" s="4" t="s">
        <v>29</v>
      </c>
      <c r="D288" s="4" t="s">
        <v>116</v>
      </c>
      <c r="E288" s="17" t="s">
        <v>117</v>
      </c>
      <c r="F288" s="4" t="s">
        <v>118</v>
      </c>
      <c r="G288" s="11" t="n">
        <v>15</v>
      </c>
      <c r="H288" s="4" t="s">
        <v>55</v>
      </c>
      <c r="I288" s="11" t="n">
        <v>21</v>
      </c>
      <c r="J288" s="11" t="n">
        <f aca="false">IF(AND(ISNUMBER(G288),ISNUMBER(I288)),I288-G288,"")</f>
        <v>6</v>
      </c>
      <c r="K288" s="10" t="n">
        <f aca="false">IF(H288="Done",1,IF(H288="Partial",0.5,IF(H288="Planned","",0)))</f>
        <v>1</v>
      </c>
      <c r="L288" s="17"/>
      <c r="M288" s="17"/>
      <c r="N288" s="17"/>
    </row>
    <row r="289" customFormat="false" ht="23.85" hidden="false" customHeight="false" outlineLevel="0" collapsed="false">
      <c r="A289" s="4" t="n">
        <v>288</v>
      </c>
      <c r="B289" s="15" t="n">
        <v>46292</v>
      </c>
      <c r="C289" s="4" t="s">
        <v>31</v>
      </c>
      <c r="D289" s="4" t="s">
        <v>119</v>
      </c>
      <c r="E289" s="17" t="s">
        <v>120</v>
      </c>
      <c r="F289" s="4" t="s">
        <v>121</v>
      </c>
      <c r="G289" s="11" t="n">
        <v>60</v>
      </c>
      <c r="H289" s="4" t="s">
        <v>150</v>
      </c>
      <c r="I289" s="11"/>
      <c r="J289" s="11" t="str">
        <f aca="false">IF(AND(ISNUMBER(G289),ISNUMBER(I289)),I289-G289,"")</f>
        <v/>
      </c>
      <c r="K289" s="10" t="n">
        <f aca="false">IF(H289="Done",1,IF(H289="Partial",0.5,IF(H289="Planned","",0)))</f>
        <v>0</v>
      </c>
      <c r="L289" s="17"/>
      <c r="M289" s="17" t="s">
        <v>153</v>
      </c>
      <c r="N289" s="17" t="s">
        <v>123</v>
      </c>
    </row>
    <row r="290" customFormat="false" ht="15" hidden="false" customHeight="false" outlineLevel="0" collapsed="false">
      <c r="A290" s="4" t="n">
        <v>289</v>
      </c>
      <c r="B290" s="15" t="n">
        <v>46293</v>
      </c>
      <c r="C290" s="4" t="s">
        <v>29</v>
      </c>
      <c r="D290" s="4" t="s">
        <v>131</v>
      </c>
      <c r="E290" s="17" t="s">
        <v>132</v>
      </c>
      <c r="F290" s="4" t="s">
        <v>118</v>
      </c>
      <c r="G290" s="11" t="n">
        <v>20</v>
      </c>
      <c r="H290" s="4" t="s">
        <v>139</v>
      </c>
      <c r="I290" s="11" t="n">
        <v>16</v>
      </c>
      <c r="J290" s="11" t="n">
        <f aca="false">IF(AND(ISNUMBER(G290),ISNUMBER(I290)),I290-G290,"")</f>
        <v>-4</v>
      </c>
      <c r="K290" s="10" t="n">
        <f aca="false">IF(H290="Done",1,IF(H290="Partial",0.5,IF(H290="Planned","",0)))</f>
        <v>0.5</v>
      </c>
      <c r="L290" s="17"/>
      <c r="M290" s="17"/>
      <c r="N290" s="17" t="s">
        <v>133</v>
      </c>
    </row>
    <row r="291" customFormat="false" ht="15" hidden="false" customHeight="false" outlineLevel="0" collapsed="false">
      <c r="A291" s="4" t="n">
        <v>290</v>
      </c>
      <c r="B291" s="15" t="n">
        <v>46293</v>
      </c>
      <c r="C291" s="4" t="s">
        <v>30</v>
      </c>
      <c r="D291" s="4" t="s">
        <v>128</v>
      </c>
      <c r="E291" s="17" t="s">
        <v>129</v>
      </c>
      <c r="F291" s="4" t="s">
        <v>130</v>
      </c>
      <c r="G291" s="11" t="n">
        <v>40</v>
      </c>
      <c r="H291" s="4" t="s">
        <v>126</v>
      </c>
      <c r="I291" s="11"/>
      <c r="J291" s="11" t="str">
        <f aca="false">IF(AND(ISNUMBER(G291),ISNUMBER(I291)),I291-G291,"")</f>
        <v/>
      </c>
      <c r="K291" s="10" t="n">
        <f aca="false">IF(H291="Done",1,IF(H291="Partial",0.5,IF(H291="Planned","",0)))</f>
        <v>0</v>
      </c>
      <c r="L291" s="17"/>
      <c r="M291" s="17" t="s">
        <v>127</v>
      </c>
      <c r="N291" s="17"/>
    </row>
    <row r="292" customFormat="false" ht="15" hidden="false" customHeight="false" outlineLevel="0" collapsed="false">
      <c r="A292" s="4" t="n">
        <v>291</v>
      </c>
      <c r="B292" s="15" t="n">
        <v>46293</v>
      </c>
      <c r="C292" s="4" t="s">
        <v>29</v>
      </c>
      <c r="D292" s="4" t="s">
        <v>116</v>
      </c>
      <c r="E292" s="17" t="s">
        <v>117</v>
      </c>
      <c r="F292" s="4" t="s">
        <v>130</v>
      </c>
      <c r="G292" s="11" t="n">
        <v>15</v>
      </c>
      <c r="H292" s="4" t="s">
        <v>139</v>
      </c>
      <c r="I292" s="11" t="n">
        <v>13</v>
      </c>
      <c r="J292" s="11" t="n">
        <f aca="false">IF(AND(ISNUMBER(G292),ISNUMBER(I292)),I292-G292,"")</f>
        <v>-2</v>
      </c>
      <c r="K292" s="10" t="n">
        <f aca="false">IF(H292="Done",1,IF(H292="Partial",0.5,IF(H292="Planned","",0)))</f>
        <v>0.5</v>
      </c>
      <c r="L292" s="17"/>
      <c r="M292" s="17"/>
      <c r="N292" s="17"/>
    </row>
    <row r="293" customFormat="false" ht="23.85" hidden="false" customHeight="false" outlineLevel="0" collapsed="false">
      <c r="A293" s="4" t="n">
        <v>292</v>
      </c>
      <c r="B293" s="15" t="n">
        <v>46293</v>
      </c>
      <c r="C293" s="4" t="s">
        <v>31</v>
      </c>
      <c r="D293" s="4" t="s">
        <v>119</v>
      </c>
      <c r="E293" s="17" t="s">
        <v>120</v>
      </c>
      <c r="F293" s="4" t="s">
        <v>130</v>
      </c>
      <c r="G293" s="11" t="n">
        <v>60</v>
      </c>
      <c r="H293" s="4" t="s">
        <v>154</v>
      </c>
      <c r="I293" s="11"/>
      <c r="J293" s="11" t="str">
        <f aca="false">IF(AND(ISNUMBER(G293),ISNUMBER(I293)),I293-G293,"")</f>
        <v/>
      </c>
      <c r="K293" s="10" t="n">
        <f aca="false">IF(H293="Done",1,IF(H293="Partial",0.5,IF(H293="Planned","",0)))</f>
        <v>0</v>
      </c>
      <c r="L293" s="17"/>
      <c r="M293" s="17" t="s">
        <v>163</v>
      </c>
      <c r="N293" s="17" t="s">
        <v>123</v>
      </c>
    </row>
    <row r="294" customFormat="false" ht="15" hidden="false" customHeight="false" outlineLevel="0" collapsed="false">
      <c r="A294" s="4" t="n">
        <v>293</v>
      </c>
      <c r="B294" s="15" t="n">
        <v>46294</v>
      </c>
      <c r="C294" s="4" t="s">
        <v>32</v>
      </c>
      <c r="D294" s="4" t="s">
        <v>144</v>
      </c>
      <c r="E294" s="17" t="s">
        <v>145</v>
      </c>
      <c r="F294" s="4" t="s">
        <v>118</v>
      </c>
      <c r="G294" s="11" t="n">
        <v>60</v>
      </c>
      <c r="H294" s="4" t="s">
        <v>55</v>
      </c>
      <c r="I294" s="11" t="n">
        <v>91</v>
      </c>
      <c r="J294" s="11" t="n">
        <f aca="false">IF(AND(ISNUMBER(G294),ISNUMBER(I294)),I294-G294,"")</f>
        <v>31</v>
      </c>
      <c r="K294" s="10" t="n">
        <f aca="false">IF(H294="Done",1,IF(H294="Partial",0.5,IF(H294="Planned","",0)))</f>
        <v>1</v>
      </c>
      <c r="L294" s="17"/>
      <c r="M294" s="17"/>
      <c r="N294" s="17"/>
    </row>
    <row r="295" customFormat="false" ht="15" hidden="false" customHeight="false" outlineLevel="0" collapsed="false">
      <c r="A295" s="4" t="n">
        <v>294</v>
      </c>
      <c r="B295" s="15" t="n">
        <v>46294</v>
      </c>
      <c r="C295" s="4" t="s">
        <v>34</v>
      </c>
      <c r="D295" s="4" t="s">
        <v>124</v>
      </c>
      <c r="E295" s="17" t="s">
        <v>125</v>
      </c>
      <c r="F295" s="4" t="s">
        <v>121</v>
      </c>
      <c r="G295" s="11" t="n">
        <v>20</v>
      </c>
      <c r="H295" s="4" t="s">
        <v>126</v>
      </c>
      <c r="I295" s="11"/>
      <c r="J295" s="11" t="str">
        <f aca="false">IF(AND(ISNUMBER(G295),ISNUMBER(I295)),I295-G295,"")</f>
        <v/>
      </c>
      <c r="K295" s="10" t="n">
        <f aca="false">IF(H295="Done",1,IF(H295="Partial",0.5,IF(H295="Planned","",0)))</f>
        <v>0</v>
      </c>
      <c r="L295" s="17"/>
      <c r="M295" s="17" t="s">
        <v>155</v>
      </c>
      <c r="N295" s="17"/>
    </row>
    <row r="296" customFormat="false" ht="23.85" hidden="false" customHeight="false" outlineLevel="0" collapsed="false">
      <c r="A296" s="4" t="n">
        <v>295</v>
      </c>
      <c r="B296" s="15" t="n">
        <v>46294</v>
      </c>
      <c r="C296" s="4" t="s">
        <v>31</v>
      </c>
      <c r="D296" s="4" t="s">
        <v>119</v>
      </c>
      <c r="E296" s="17" t="s">
        <v>120</v>
      </c>
      <c r="F296" s="4" t="s">
        <v>118</v>
      </c>
      <c r="G296" s="11" t="n">
        <v>60</v>
      </c>
      <c r="H296" s="4" t="s">
        <v>150</v>
      </c>
      <c r="I296" s="11"/>
      <c r="J296" s="11" t="str">
        <f aca="false">IF(AND(ISNUMBER(G296),ISNUMBER(I296)),I296-G296,"")</f>
        <v/>
      </c>
      <c r="K296" s="10" t="n">
        <f aca="false">IF(H296="Done",1,IF(H296="Partial",0.5,IF(H296="Planned","",0)))</f>
        <v>0</v>
      </c>
      <c r="L296" s="17"/>
      <c r="M296" s="17" t="s">
        <v>146</v>
      </c>
      <c r="N296" s="17" t="s">
        <v>123</v>
      </c>
    </row>
    <row r="297" customFormat="false" ht="15" hidden="false" customHeight="false" outlineLevel="0" collapsed="false">
      <c r="A297" s="4" t="n">
        <v>296</v>
      </c>
      <c r="B297" s="15" t="n">
        <v>46295</v>
      </c>
      <c r="C297" s="4" t="s">
        <v>33</v>
      </c>
      <c r="D297" s="4" t="s">
        <v>151</v>
      </c>
      <c r="E297" s="17" t="s">
        <v>152</v>
      </c>
      <c r="F297" s="4" t="s">
        <v>121</v>
      </c>
      <c r="G297" s="11" t="n">
        <v>30</v>
      </c>
      <c r="H297" s="4" t="s">
        <v>55</v>
      </c>
      <c r="I297" s="11" t="n">
        <v>21</v>
      </c>
      <c r="J297" s="11" t="n">
        <f aca="false">IF(AND(ISNUMBER(G297),ISNUMBER(I297)),I297-G297,"")</f>
        <v>-9</v>
      </c>
      <c r="K297" s="10" t="n">
        <f aca="false">IF(H297="Done",1,IF(H297="Partial",0.5,IF(H297="Planned","",0)))</f>
        <v>1</v>
      </c>
      <c r="L297" s="17"/>
      <c r="M297" s="17"/>
      <c r="N297" s="17"/>
    </row>
    <row r="298" customFormat="false" ht="23.85" hidden="false" customHeight="false" outlineLevel="0" collapsed="false">
      <c r="A298" s="4" t="n">
        <v>297</v>
      </c>
      <c r="B298" s="15" t="n">
        <v>46295</v>
      </c>
      <c r="C298" s="4" t="s">
        <v>31</v>
      </c>
      <c r="D298" s="4" t="s">
        <v>136</v>
      </c>
      <c r="E298" s="17" t="s">
        <v>137</v>
      </c>
      <c r="F298" s="4" t="s">
        <v>130</v>
      </c>
      <c r="G298" s="11" t="n">
        <v>120</v>
      </c>
      <c r="H298" s="4" t="s">
        <v>55</v>
      </c>
      <c r="I298" s="11" t="n">
        <v>172</v>
      </c>
      <c r="J298" s="11" t="n">
        <f aca="false">IF(AND(ISNUMBER(G298),ISNUMBER(I298)),I298-G298,"")</f>
        <v>52</v>
      </c>
      <c r="K298" s="10" t="n">
        <f aca="false">IF(H298="Done",1,IF(H298="Partial",0.5,IF(H298="Planned","",0)))</f>
        <v>1</v>
      </c>
      <c r="L298" s="17" t="s">
        <v>164</v>
      </c>
      <c r="M298" s="17"/>
      <c r="N298" s="17" t="s">
        <v>123</v>
      </c>
    </row>
    <row r="299" customFormat="false" ht="23.85" hidden="false" customHeight="false" outlineLevel="0" collapsed="false">
      <c r="A299" s="4" t="n">
        <v>298</v>
      </c>
      <c r="B299" s="15" t="n">
        <v>46295</v>
      </c>
      <c r="C299" s="4" t="s">
        <v>31</v>
      </c>
      <c r="D299" s="4" t="s">
        <v>119</v>
      </c>
      <c r="E299" s="17" t="s">
        <v>120</v>
      </c>
      <c r="F299" s="4" t="s">
        <v>130</v>
      </c>
      <c r="G299" s="11" t="n">
        <v>60</v>
      </c>
      <c r="H299" s="4" t="s">
        <v>55</v>
      </c>
      <c r="I299" s="11" t="n">
        <v>32</v>
      </c>
      <c r="J299" s="11" t="n">
        <f aca="false">IF(AND(ISNUMBER(G299),ISNUMBER(I299)),I299-G299,"")</f>
        <v>-28</v>
      </c>
      <c r="K299" s="10" t="n">
        <f aca="false">IF(H299="Done",1,IF(H299="Partial",0.5,IF(H299="Planned","",0)))</f>
        <v>1</v>
      </c>
      <c r="L299" s="17"/>
      <c r="M299" s="17"/>
      <c r="N299" s="17" t="s">
        <v>123</v>
      </c>
    </row>
    <row r="300" customFormat="false" ht="15" hidden="false" customHeight="false" outlineLevel="0" collapsed="false">
      <c r="A300" s="4" t="n">
        <v>299</v>
      </c>
      <c r="B300" s="15" t="n">
        <v>46295</v>
      </c>
      <c r="C300" s="4" t="s">
        <v>29</v>
      </c>
      <c r="D300" s="4" t="s">
        <v>116</v>
      </c>
      <c r="E300" s="17" t="s">
        <v>117</v>
      </c>
      <c r="F300" s="4" t="s">
        <v>118</v>
      </c>
      <c r="G300" s="11" t="n">
        <v>15</v>
      </c>
      <c r="H300" s="4" t="s">
        <v>126</v>
      </c>
      <c r="I300" s="11"/>
      <c r="J300" s="11" t="str">
        <f aca="false">IF(AND(ISNUMBER(G300),ISNUMBER(I300)),I300-G300,"")</f>
        <v/>
      </c>
      <c r="K300" s="10" t="n">
        <f aca="false">IF(H300="Done",1,IF(H300="Partial",0.5,IF(H300="Planned","",0)))</f>
        <v>0</v>
      </c>
      <c r="L300" s="17"/>
      <c r="M300" s="17" t="s">
        <v>127</v>
      </c>
      <c r="N300" s="17"/>
    </row>
    <row r="301" customFormat="false" ht="15" hidden="false" customHeight="false" outlineLevel="0" collapsed="false">
      <c r="A301" s="4" t="n">
        <v>300</v>
      </c>
      <c r="B301" s="15" t="n">
        <v>46296</v>
      </c>
      <c r="C301" s="4" t="s">
        <v>35</v>
      </c>
      <c r="D301" s="4" t="s">
        <v>148</v>
      </c>
      <c r="E301" s="17" t="s">
        <v>149</v>
      </c>
      <c r="F301" s="4" t="s">
        <v>121</v>
      </c>
      <c r="G301" s="11" t="n">
        <v>30</v>
      </c>
      <c r="H301" s="4" t="s">
        <v>55</v>
      </c>
      <c r="I301" s="11" t="n">
        <v>31</v>
      </c>
      <c r="J301" s="11" t="n">
        <f aca="false">IF(AND(ISNUMBER(G301),ISNUMBER(I301)),I301-G301,"")</f>
        <v>1</v>
      </c>
      <c r="K301" s="10" t="n">
        <f aca="false">IF(H301="Done",1,IF(H301="Partial",0.5,IF(H301="Planned","",0)))</f>
        <v>1</v>
      </c>
      <c r="L301" s="17"/>
      <c r="M301" s="17"/>
      <c r="N301" s="17"/>
    </row>
    <row r="302" customFormat="false" ht="15" hidden="false" customHeight="false" outlineLevel="0" collapsed="false">
      <c r="A302" s="4" t="n">
        <v>301</v>
      </c>
      <c r="B302" s="15" t="n">
        <v>46296</v>
      </c>
      <c r="C302" s="4" t="s">
        <v>29</v>
      </c>
      <c r="D302" s="4" t="s">
        <v>116</v>
      </c>
      <c r="E302" s="17" t="s">
        <v>117</v>
      </c>
      <c r="F302" s="4" t="s">
        <v>130</v>
      </c>
      <c r="G302" s="11" t="n">
        <v>15</v>
      </c>
      <c r="H302" s="4" t="s">
        <v>55</v>
      </c>
      <c r="I302" s="11" t="n">
        <v>13</v>
      </c>
      <c r="J302" s="11" t="n">
        <f aca="false">IF(AND(ISNUMBER(G302),ISNUMBER(I302)),I302-G302,"")</f>
        <v>-2</v>
      </c>
      <c r="K302" s="10" t="n">
        <f aca="false">IF(H302="Done",1,IF(H302="Partial",0.5,IF(H302="Planned","",0)))</f>
        <v>1</v>
      </c>
      <c r="L302" s="17"/>
      <c r="M302" s="17"/>
      <c r="N302" s="17"/>
    </row>
    <row r="303" customFormat="false" ht="15" hidden="false" customHeight="false" outlineLevel="0" collapsed="false">
      <c r="A303" s="4" t="n">
        <v>302</v>
      </c>
      <c r="B303" s="15" t="n">
        <v>46296</v>
      </c>
      <c r="C303" s="4" t="s">
        <v>32</v>
      </c>
      <c r="D303" s="4" t="s">
        <v>144</v>
      </c>
      <c r="E303" s="17" t="s">
        <v>145</v>
      </c>
      <c r="F303" s="4" t="s">
        <v>121</v>
      </c>
      <c r="G303" s="11" t="n">
        <v>60</v>
      </c>
      <c r="H303" s="4" t="s">
        <v>55</v>
      </c>
      <c r="I303" s="11" t="n">
        <v>64</v>
      </c>
      <c r="J303" s="11" t="n">
        <f aca="false">IF(AND(ISNUMBER(G303),ISNUMBER(I303)),I303-G303,"")</f>
        <v>4</v>
      </c>
      <c r="K303" s="10" t="n">
        <f aca="false">IF(H303="Done",1,IF(H303="Partial",0.5,IF(H303="Planned","",0)))</f>
        <v>1</v>
      </c>
      <c r="L303" s="17"/>
      <c r="M303" s="17"/>
      <c r="N303" s="17"/>
    </row>
    <row r="304" customFormat="false" ht="15" hidden="false" customHeight="false" outlineLevel="0" collapsed="false">
      <c r="A304" s="4" t="n">
        <v>303</v>
      </c>
      <c r="B304" s="15" t="n">
        <v>46296</v>
      </c>
      <c r="C304" s="4" t="s">
        <v>33</v>
      </c>
      <c r="D304" s="4" t="s">
        <v>151</v>
      </c>
      <c r="E304" s="17" t="s">
        <v>152</v>
      </c>
      <c r="F304" s="4" t="s">
        <v>118</v>
      </c>
      <c r="G304" s="11" t="n">
        <v>30</v>
      </c>
      <c r="H304" s="4" t="s">
        <v>55</v>
      </c>
      <c r="I304" s="11" t="n">
        <v>21</v>
      </c>
      <c r="J304" s="11" t="n">
        <f aca="false">IF(AND(ISNUMBER(G304),ISNUMBER(I304)),I304-G304,"")</f>
        <v>-9</v>
      </c>
      <c r="K304" s="10" t="n">
        <f aca="false">IF(H304="Done",1,IF(H304="Partial",0.5,IF(H304="Planned","",0)))</f>
        <v>1</v>
      </c>
      <c r="L304" s="17"/>
      <c r="M304" s="17"/>
      <c r="N304" s="17"/>
    </row>
    <row r="305" customFormat="false" ht="15" hidden="false" customHeight="false" outlineLevel="0" collapsed="false">
      <c r="A305" s="4" t="n">
        <v>304</v>
      </c>
      <c r="B305" s="15" t="n">
        <v>46296</v>
      </c>
      <c r="C305" s="4" t="s">
        <v>32</v>
      </c>
      <c r="D305" s="4" t="s">
        <v>140</v>
      </c>
      <c r="E305" s="17" t="s">
        <v>141</v>
      </c>
      <c r="F305" s="4" t="s">
        <v>130</v>
      </c>
      <c r="G305" s="11" t="n">
        <v>45</v>
      </c>
      <c r="H305" s="4" t="s">
        <v>126</v>
      </c>
      <c r="I305" s="11"/>
      <c r="J305" s="11" t="str">
        <f aca="false">IF(AND(ISNUMBER(G305),ISNUMBER(I305)),I305-G305,"")</f>
        <v/>
      </c>
      <c r="K305" s="10" t="n">
        <f aca="false">IF(H305="Done",1,IF(H305="Partial",0.5,IF(H305="Planned","",0)))</f>
        <v>0</v>
      </c>
      <c r="L305" s="17"/>
      <c r="M305" s="17" t="s">
        <v>127</v>
      </c>
      <c r="N305" s="17" t="s">
        <v>143</v>
      </c>
    </row>
    <row r="306" customFormat="false" ht="15" hidden="false" customHeight="false" outlineLevel="0" collapsed="false">
      <c r="A306" s="4" t="n">
        <v>305</v>
      </c>
      <c r="B306" s="15" t="n">
        <v>46296</v>
      </c>
      <c r="C306" s="4" t="s">
        <v>30</v>
      </c>
      <c r="D306" s="4" t="s">
        <v>156</v>
      </c>
      <c r="E306" s="17" t="s">
        <v>157</v>
      </c>
      <c r="F306" s="4" t="s">
        <v>130</v>
      </c>
      <c r="G306" s="11" t="n">
        <v>30</v>
      </c>
      <c r="H306" s="4" t="s">
        <v>126</v>
      </c>
      <c r="I306" s="11"/>
      <c r="J306" s="11" t="str">
        <f aca="false">IF(AND(ISNUMBER(G306),ISNUMBER(I306)),I306-G306,"")</f>
        <v/>
      </c>
      <c r="K306" s="10" t="n">
        <f aca="false">IF(H306="Done",1,IF(H306="Partial",0.5,IF(H306="Planned","",0)))</f>
        <v>0</v>
      </c>
      <c r="L306" s="17"/>
      <c r="M306" s="17" t="s">
        <v>153</v>
      </c>
      <c r="N306" s="17" t="s">
        <v>158</v>
      </c>
    </row>
    <row r="307" customFormat="false" ht="15" hidden="false" customHeight="false" outlineLevel="0" collapsed="false">
      <c r="A307" s="4" t="n">
        <v>306</v>
      </c>
      <c r="B307" s="15" t="n">
        <v>46297</v>
      </c>
      <c r="C307" s="4" t="s">
        <v>31</v>
      </c>
      <c r="D307" s="4" t="s">
        <v>159</v>
      </c>
      <c r="E307" s="17" t="s">
        <v>160</v>
      </c>
      <c r="F307" s="4" t="s">
        <v>130</v>
      </c>
      <c r="G307" s="11" t="n">
        <v>60</v>
      </c>
      <c r="H307" s="4" t="s">
        <v>55</v>
      </c>
      <c r="I307" s="11" t="n">
        <v>58</v>
      </c>
      <c r="J307" s="11" t="n">
        <f aca="false">IF(AND(ISNUMBER(G307),ISNUMBER(I307)),I307-G307,"")</f>
        <v>-2</v>
      </c>
      <c r="K307" s="10" t="n">
        <f aca="false">IF(H307="Done",1,IF(H307="Partial",0.5,IF(H307="Planned","",0)))</f>
        <v>1</v>
      </c>
      <c r="L307" s="17"/>
      <c r="M307" s="17"/>
      <c r="N307" s="17"/>
    </row>
    <row r="308" customFormat="false" ht="15" hidden="false" customHeight="false" outlineLevel="0" collapsed="false">
      <c r="A308" s="4" t="n">
        <v>307</v>
      </c>
      <c r="B308" s="15" t="n">
        <v>46297</v>
      </c>
      <c r="C308" s="4" t="s">
        <v>32</v>
      </c>
      <c r="D308" s="4" t="s">
        <v>140</v>
      </c>
      <c r="E308" s="17" t="s">
        <v>141</v>
      </c>
      <c r="F308" s="4" t="s">
        <v>118</v>
      </c>
      <c r="G308" s="11" t="n">
        <v>45</v>
      </c>
      <c r="H308" s="4" t="s">
        <v>154</v>
      </c>
      <c r="I308" s="11"/>
      <c r="J308" s="11" t="str">
        <f aca="false">IF(AND(ISNUMBER(G308),ISNUMBER(I308)),I308-G308,"")</f>
        <v/>
      </c>
      <c r="K308" s="10" t="n">
        <f aca="false">IF(H308="Done",1,IF(H308="Partial",0.5,IF(H308="Planned","",0)))</f>
        <v>0</v>
      </c>
      <c r="L308" s="17"/>
      <c r="M308" s="17" t="s">
        <v>155</v>
      </c>
      <c r="N308" s="17" t="s">
        <v>143</v>
      </c>
    </row>
    <row r="309" customFormat="false" ht="15" hidden="false" customHeight="false" outlineLevel="0" collapsed="false">
      <c r="A309" s="4" t="n">
        <v>308</v>
      </c>
      <c r="B309" s="15" t="n">
        <v>46297</v>
      </c>
      <c r="C309" s="4" t="s">
        <v>35</v>
      </c>
      <c r="D309" s="4" t="s">
        <v>148</v>
      </c>
      <c r="E309" s="17" t="s">
        <v>149</v>
      </c>
      <c r="F309" s="4" t="s">
        <v>118</v>
      </c>
      <c r="G309" s="11" t="n">
        <v>30</v>
      </c>
      <c r="H309" s="4" t="s">
        <v>55</v>
      </c>
      <c r="I309" s="11" t="n">
        <v>29</v>
      </c>
      <c r="J309" s="11" t="n">
        <f aca="false">IF(AND(ISNUMBER(G309),ISNUMBER(I309)),I309-G309,"")</f>
        <v>-1</v>
      </c>
      <c r="K309" s="10" t="n">
        <f aca="false">IF(H309="Done",1,IF(H309="Partial",0.5,IF(H309="Planned","",0)))</f>
        <v>1</v>
      </c>
      <c r="L309" s="17"/>
      <c r="M309" s="17"/>
      <c r="N309" s="17"/>
    </row>
    <row r="310" customFormat="false" ht="15" hidden="false" customHeight="false" outlineLevel="0" collapsed="false">
      <c r="A310" s="4" t="n">
        <v>309</v>
      </c>
      <c r="B310" s="15" t="n">
        <v>46297</v>
      </c>
      <c r="C310" s="4" t="s">
        <v>30</v>
      </c>
      <c r="D310" s="4" t="s">
        <v>128</v>
      </c>
      <c r="E310" s="17" t="s">
        <v>129</v>
      </c>
      <c r="F310" s="4" t="s">
        <v>130</v>
      </c>
      <c r="G310" s="11" t="n">
        <v>40</v>
      </c>
      <c r="H310" s="4" t="s">
        <v>55</v>
      </c>
      <c r="I310" s="11" t="n">
        <v>46</v>
      </c>
      <c r="J310" s="11" t="n">
        <f aca="false">IF(AND(ISNUMBER(G310),ISNUMBER(I310)),I310-G310,"")</f>
        <v>6</v>
      </c>
      <c r="K310" s="10" t="n">
        <f aca="false">IF(H310="Done",1,IF(H310="Partial",0.5,IF(H310="Planned","",0)))</f>
        <v>1</v>
      </c>
      <c r="L310" s="17"/>
      <c r="M310" s="17"/>
      <c r="N310" s="17"/>
    </row>
    <row r="311" customFormat="false" ht="23.85" hidden="false" customHeight="false" outlineLevel="0" collapsed="false">
      <c r="A311" s="4" t="n">
        <v>310</v>
      </c>
      <c r="B311" s="15" t="n">
        <v>46297</v>
      </c>
      <c r="C311" s="4" t="s">
        <v>31</v>
      </c>
      <c r="D311" s="4" t="s">
        <v>119</v>
      </c>
      <c r="E311" s="17" t="s">
        <v>120</v>
      </c>
      <c r="F311" s="4" t="s">
        <v>121</v>
      </c>
      <c r="G311" s="11" t="n">
        <v>60</v>
      </c>
      <c r="H311" s="4" t="s">
        <v>55</v>
      </c>
      <c r="I311" s="11" t="n">
        <v>36</v>
      </c>
      <c r="J311" s="11" t="n">
        <f aca="false">IF(AND(ISNUMBER(G311),ISNUMBER(I311)),I311-G311,"")</f>
        <v>-24</v>
      </c>
      <c r="K311" s="10" t="n">
        <f aca="false">IF(H311="Done",1,IF(H311="Partial",0.5,IF(H311="Planned","",0)))</f>
        <v>1</v>
      </c>
      <c r="L311" s="17" t="s">
        <v>122</v>
      </c>
      <c r="M311" s="17"/>
      <c r="N311" s="17" t="s">
        <v>123</v>
      </c>
    </row>
    <row r="312" customFormat="false" ht="15" hidden="false" customHeight="false" outlineLevel="0" collapsed="false">
      <c r="A312" s="4" t="n">
        <v>311</v>
      </c>
      <c r="B312" s="15" t="n">
        <v>46298</v>
      </c>
      <c r="C312" s="4" t="s">
        <v>33</v>
      </c>
      <c r="D312" s="4" t="s">
        <v>151</v>
      </c>
      <c r="E312" s="17" t="s">
        <v>152</v>
      </c>
      <c r="F312" s="4" t="s">
        <v>130</v>
      </c>
      <c r="G312" s="11" t="n">
        <v>30</v>
      </c>
      <c r="H312" s="4" t="s">
        <v>126</v>
      </c>
      <c r="I312" s="11"/>
      <c r="J312" s="11" t="str">
        <f aca="false">IF(AND(ISNUMBER(G312),ISNUMBER(I312)),I312-G312,"")</f>
        <v/>
      </c>
      <c r="K312" s="10" t="n">
        <f aca="false">IF(H312="Done",1,IF(H312="Partial",0.5,IF(H312="Planned","",0)))</f>
        <v>0</v>
      </c>
      <c r="L312" s="17"/>
      <c r="M312" s="17" t="s">
        <v>153</v>
      </c>
      <c r="N312" s="17"/>
    </row>
    <row r="313" customFormat="false" ht="15" hidden="false" customHeight="false" outlineLevel="0" collapsed="false">
      <c r="A313" s="4" t="n">
        <v>312</v>
      </c>
      <c r="B313" s="15" t="n">
        <v>46298</v>
      </c>
      <c r="C313" s="4" t="s">
        <v>29</v>
      </c>
      <c r="D313" s="4" t="s">
        <v>131</v>
      </c>
      <c r="E313" s="17" t="s">
        <v>132</v>
      </c>
      <c r="F313" s="4" t="s">
        <v>130</v>
      </c>
      <c r="G313" s="11" t="n">
        <v>20</v>
      </c>
      <c r="H313" s="4" t="s">
        <v>55</v>
      </c>
      <c r="I313" s="11" t="n">
        <v>13</v>
      </c>
      <c r="J313" s="11" t="n">
        <f aca="false">IF(AND(ISNUMBER(G313),ISNUMBER(I313)),I313-G313,"")</f>
        <v>-7</v>
      </c>
      <c r="K313" s="10" t="n">
        <f aca="false">IF(H313="Done",1,IF(H313="Partial",0.5,IF(H313="Planned","",0)))</f>
        <v>1</v>
      </c>
      <c r="L313" s="17"/>
      <c r="M313" s="17"/>
      <c r="N313" s="17" t="s">
        <v>133</v>
      </c>
    </row>
    <row r="314" customFormat="false" ht="15" hidden="false" customHeight="false" outlineLevel="0" collapsed="false">
      <c r="A314" s="4" t="n">
        <v>313</v>
      </c>
      <c r="B314" s="15" t="n">
        <v>46298</v>
      </c>
      <c r="C314" s="4" t="s">
        <v>31</v>
      </c>
      <c r="D314" s="4" t="s">
        <v>134</v>
      </c>
      <c r="E314" s="17" t="s">
        <v>135</v>
      </c>
      <c r="F314" s="4" t="s">
        <v>130</v>
      </c>
      <c r="G314" s="11" t="n">
        <v>45</v>
      </c>
      <c r="H314" s="4" t="s">
        <v>126</v>
      </c>
      <c r="I314" s="11"/>
      <c r="J314" s="11" t="str">
        <f aca="false">IF(AND(ISNUMBER(G314),ISNUMBER(I314)),I314-G314,"")</f>
        <v/>
      </c>
      <c r="K314" s="10" t="n">
        <f aca="false">IF(H314="Done",1,IF(H314="Partial",0.5,IF(H314="Planned","",0)))</f>
        <v>0</v>
      </c>
      <c r="L314" s="17"/>
      <c r="M314" s="17" t="s">
        <v>146</v>
      </c>
      <c r="N314" s="17"/>
    </row>
    <row r="315" customFormat="false" ht="23.85" hidden="false" customHeight="false" outlineLevel="0" collapsed="false">
      <c r="A315" s="4" t="n">
        <v>314</v>
      </c>
      <c r="B315" s="15" t="n">
        <v>46298</v>
      </c>
      <c r="C315" s="4" t="s">
        <v>31</v>
      </c>
      <c r="D315" s="4" t="s">
        <v>119</v>
      </c>
      <c r="E315" s="17" t="s">
        <v>120</v>
      </c>
      <c r="F315" s="4" t="s">
        <v>118</v>
      </c>
      <c r="G315" s="11" t="n">
        <v>60</v>
      </c>
      <c r="H315" s="4" t="s">
        <v>126</v>
      </c>
      <c r="I315" s="11"/>
      <c r="J315" s="11" t="str">
        <f aca="false">IF(AND(ISNUMBER(G315),ISNUMBER(I315)),I315-G315,"")</f>
        <v/>
      </c>
      <c r="K315" s="10" t="n">
        <f aca="false">IF(H315="Done",1,IF(H315="Partial",0.5,IF(H315="Planned","",0)))</f>
        <v>0</v>
      </c>
      <c r="L315" s="17"/>
      <c r="M315" s="17" t="s">
        <v>142</v>
      </c>
      <c r="N315" s="17" t="s">
        <v>123</v>
      </c>
    </row>
    <row r="316" customFormat="false" ht="15" hidden="false" customHeight="false" outlineLevel="0" collapsed="false">
      <c r="A316" s="4" t="n">
        <v>315</v>
      </c>
      <c r="B316" s="15" t="n">
        <v>46298</v>
      </c>
      <c r="C316" s="4" t="s">
        <v>31</v>
      </c>
      <c r="D316" s="4" t="s">
        <v>159</v>
      </c>
      <c r="E316" s="17" t="s">
        <v>160</v>
      </c>
      <c r="F316" s="4" t="s">
        <v>118</v>
      </c>
      <c r="G316" s="11" t="n">
        <v>60</v>
      </c>
      <c r="H316" s="4" t="s">
        <v>126</v>
      </c>
      <c r="I316" s="11"/>
      <c r="J316" s="11" t="str">
        <f aca="false">IF(AND(ISNUMBER(G316),ISNUMBER(I316)),I316-G316,"")</f>
        <v/>
      </c>
      <c r="K316" s="10" t="n">
        <f aca="false">IF(H316="Done",1,IF(H316="Partial",0.5,IF(H316="Planned","",0)))</f>
        <v>0</v>
      </c>
      <c r="L316" s="17"/>
      <c r="M316" s="17" t="s">
        <v>147</v>
      </c>
      <c r="N316" s="17"/>
    </row>
    <row r="317" customFormat="false" ht="15" hidden="false" customHeight="false" outlineLevel="0" collapsed="false">
      <c r="A317" s="4" t="n">
        <v>316</v>
      </c>
      <c r="B317" s="15" t="n">
        <v>46298</v>
      </c>
      <c r="C317" s="4" t="s">
        <v>32</v>
      </c>
      <c r="D317" s="4" t="s">
        <v>140</v>
      </c>
      <c r="E317" s="17" t="s">
        <v>141</v>
      </c>
      <c r="F317" s="4" t="s">
        <v>121</v>
      </c>
      <c r="G317" s="11" t="n">
        <v>45</v>
      </c>
      <c r="H317" s="4" t="s">
        <v>126</v>
      </c>
      <c r="I317" s="11"/>
      <c r="J317" s="11" t="str">
        <f aca="false">IF(AND(ISNUMBER(G317),ISNUMBER(I317)),I317-G317,"")</f>
        <v/>
      </c>
      <c r="K317" s="10" t="n">
        <f aca="false">IF(H317="Done",1,IF(H317="Partial",0.5,IF(H317="Planned","",0)))</f>
        <v>0</v>
      </c>
      <c r="L317" s="17"/>
      <c r="M317" s="17" t="s">
        <v>146</v>
      </c>
      <c r="N317" s="17" t="s">
        <v>143</v>
      </c>
    </row>
    <row r="318" customFormat="false" ht="15" hidden="false" customHeight="false" outlineLevel="0" collapsed="false">
      <c r="A318" s="4" t="n">
        <v>317</v>
      </c>
      <c r="B318" s="15" t="n">
        <v>46298</v>
      </c>
      <c r="C318" s="4" t="s">
        <v>30</v>
      </c>
      <c r="D318" s="4" t="s">
        <v>156</v>
      </c>
      <c r="E318" s="17" t="s">
        <v>157</v>
      </c>
      <c r="F318" s="4" t="s">
        <v>130</v>
      </c>
      <c r="G318" s="11" t="n">
        <v>30</v>
      </c>
      <c r="H318" s="4" t="s">
        <v>154</v>
      </c>
      <c r="I318" s="11"/>
      <c r="J318" s="11" t="str">
        <f aca="false">IF(AND(ISNUMBER(G318),ISNUMBER(I318)),I318-G318,"")</f>
        <v/>
      </c>
      <c r="K318" s="10" t="n">
        <f aca="false">IF(H318="Done",1,IF(H318="Partial",0.5,IF(H318="Planned","",0)))</f>
        <v>0</v>
      </c>
      <c r="L318" s="17"/>
      <c r="M318" s="17" t="s">
        <v>147</v>
      </c>
      <c r="N318" s="17" t="s">
        <v>158</v>
      </c>
    </row>
    <row r="319" customFormat="false" ht="15" hidden="false" customHeight="false" outlineLevel="0" collapsed="false">
      <c r="A319" s="4" t="n">
        <v>318</v>
      </c>
      <c r="B319" s="15" t="n">
        <v>46299</v>
      </c>
      <c r="C319" s="4" t="s">
        <v>32</v>
      </c>
      <c r="D319" s="4" t="s">
        <v>144</v>
      </c>
      <c r="E319" s="17" t="s">
        <v>145</v>
      </c>
      <c r="F319" s="4" t="s">
        <v>130</v>
      </c>
      <c r="G319" s="11" t="n">
        <v>60</v>
      </c>
      <c r="H319" s="4" t="s">
        <v>139</v>
      </c>
      <c r="I319" s="11" t="n">
        <v>30</v>
      </c>
      <c r="J319" s="11" t="n">
        <f aca="false">IF(AND(ISNUMBER(G319),ISNUMBER(I319)),I319-G319,"")</f>
        <v>-30</v>
      </c>
      <c r="K319" s="10" t="n">
        <f aca="false">IF(H319="Done",1,IF(H319="Partial",0.5,IF(H319="Planned","",0)))</f>
        <v>0.5</v>
      </c>
      <c r="L319" s="17"/>
      <c r="M319" s="17"/>
      <c r="N319" s="17"/>
    </row>
    <row r="320" customFormat="false" ht="15" hidden="false" customHeight="false" outlineLevel="0" collapsed="false">
      <c r="A320" s="4" t="n">
        <v>319</v>
      </c>
      <c r="B320" s="15" t="n">
        <v>46299</v>
      </c>
      <c r="C320" s="4" t="s">
        <v>30</v>
      </c>
      <c r="D320" s="4" t="s">
        <v>128</v>
      </c>
      <c r="E320" s="17" t="s">
        <v>129</v>
      </c>
      <c r="F320" s="4" t="s">
        <v>118</v>
      </c>
      <c r="G320" s="11" t="n">
        <v>40</v>
      </c>
      <c r="H320" s="4" t="s">
        <v>154</v>
      </c>
      <c r="I320" s="11"/>
      <c r="J320" s="11" t="str">
        <f aca="false">IF(AND(ISNUMBER(G320),ISNUMBER(I320)),I320-G320,"")</f>
        <v/>
      </c>
      <c r="K320" s="10" t="n">
        <f aca="false">IF(H320="Done",1,IF(H320="Partial",0.5,IF(H320="Planned","",0)))</f>
        <v>0</v>
      </c>
      <c r="L320" s="17"/>
      <c r="M320" s="17" t="s">
        <v>153</v>
      </c>
      <c r="N320" s="17"/>
    </row>
    <row r="321" customFormat="false" ht="15" hidden="false" customHeight="false" outlineLevel="0" collapsed="false">
      <c r="A321" s="4" t="n">
        <v>320</v>
      </c>
      <c r="B321" s="15" t="n">
        <v>46299</v>
      </c>
      <c r="C321" s="4" t="s">
        <v>30</v>
      </c>
      <c r="D321" s="4" t="s">
        <v>156</v>
      </c>
      <c r="E321" s="17" t="s">
        <v>157</v>
      </c>
      <c r="F321" s="4" t="s">
        <v>130</v>
      </c>
      <c r="G321" s="11" t="n">
        <v>30</v>
      </c>
      <c r="H321" s="4" t="s">
        <v>150</v>
      </c>
      <c r="I321" s="11"/>
      <c r="J321" s="11" t="str">
        <f aca="false">IF(AND(ISNUMBER(G321),ISNUMBER(I321)),I321-G321,"")</f>
        <v/>
      </c>
      <c r="K321" s="10" t="n">
        <f aca="false">IF(H321="Done",1,IF(H321="Partial",0.5,IF(H321="Planned","",0)))</f>
        <v>0</v>
      </c>
      <c r="L321" s="17"/>
      <c r="M321" s="17" t="s">
        <v>147</v>
      </c>
      <c r="N321" s="17" t="s">
        <v>158</v>
      </c>
    </row>
    <row r="322" customFormat="false" ht="23.85" hidden="false" customHeight="false" outlineLevel="0" collapsed="false">
      <c r="A322" s="4" t="n">
        <v>321</v>
      </c>
      <c r="B322" s="15" t="n">
        <v>46299</v>
      </c>
      <c r="C322" s="4" t="s">
        <v>31</v>
      </c>
      <c r="D322" s="4" t="s">
        <v>119</v>
      </c>
      <c r="E322" s="17" t="s">
        <v>120</v>
      </c>
      <c r="F322" s="4" t="s">
        <v>118</v>
      </c>
      <c r="G322" s="11" t="n">
        <v>60</v>
      </c>
      <c r="H322" s="4" t="s">
        <v>154</v>
      </c>
      <c r="I322" s="11"/>
      <c r="J322" s="11" t="str">
        <f aca="false">IF(AND(ISNUMBER(G322),ISNUMBER(I322)),I322-G322,"")</f>
        <v/>
      </c>
      <c r="K322" s="10" t="n">
        <f aca="false">IF(H322="Done",1,IF(H322="Partial",0.5,IF(H322="Planned","",0)))</f>
        <v>0</v>
      </c>
      <c r="L322" s="17"/>
      <c r="M322" s="17" t="s">
        <v>146</v>
      </c>
      <c r="N322" s="17" t="s">
        <v>123</v>
      </c>
    </row>
    <row r="323" customFormat="false" ht="15" hidden="false" customHeight="false" outlineLevel="0" collapsed="false">
      <c r="A323" s="4" t="n">
        <v>322</v>
      </c>
      <c r="B323" s="15" t="n">
        <v>46299</v>
      </c>
      <c r="C323" s="4" t="s">
        <v>34</v>
      </c>
      <c r="D323" s="4" t="s">
        <v>124</v>
      </c>
      <c r="E323" s="17" t="s">
        <v>125</v>
      </c>
      <c r="F323" s="4" t="s">
        <v>130</v>
      </c>
      <c r="G323" s="11" t="n">
        <v>20</v>
      </c>
      <c r="H323" s="4" t="s">
        <v>55</v>
      </c>
      <c r="I323" s="11" t="n">
        <v>22</v>
      </c>
      <c r="J323" s="11" t="n">
        <f aca="false">IF(AND(ISNUMBER(G323),ISNUMBER(I323)),I323-G323,"")</f>
        <v>2</v>
      </c>
      <c r="K323" s="10" t="n">
        <f aca="false">IF(H323="Done",1,IF(H323="Partial",0.5,IF(H323="Planned","",0)))</f>
        <v>1</v>
      </c>
      <c r="L323" s="17"/>
      <c r="M323" s="17"/>
      <c r="N323" s="17"/>
    </row>
    <row r="324" customFormat="false" ht="15" hidden="false" customHeight="false" outlineLevel="0" collapsed="false">
      <c r="A324" s="4" t="n">
        <v>323</v>
      </c>
      <c r="B324" s="15" t="n">
        <v>46300</v>
      </c>
      <c r="C324" s="4" t="s">
        <v>33</v>
      </c>
      <c r="D324" s="4" t="s">
        <v>151</v>
      </c>
      <c r="E324" s="17" t="s">
        <v>152</v>
      </c>
      <c r="F324" s="4" t="s">
        <v>130</v>
      </c>
      <c r="G324" s="11" t="n">
        <v>30</v>
      </c>
      <c r="H324" s="4" t="s">
        <v>126</v>
      </c>
      <c r="I324" s="11"/>
      <c r="J324" s="11" t="str">
        <f aca="false">IF(AND(ISNUMBER(G324),ISNUMBER(I324)),I324-G324,"")</f>
        <v/>
      </c>
      <c r="K324" s="10" t="n">
        <f aca="false">IF(H324="Done",1,IF(H324="Partial",0.5,IF(H324="Planned","",0)))</f>
        <v>0</v>
      </c>
      <c r="L324" s="17"/>
      <c r="M324" s="17" t="s">
        <v>146</v>
      </c>
      <c r="N324" s="17"/>
    </row>
    <row r="325" customFormat="false" ht="15" hidden="false" customHeight="false" outlineLevel="0" collapsed="false">
      <c r="A325" s="4" t="n">
        <v>324</v>
      </c>
      <c r="B325" s="15" t="n">
        <v>46300</v>
      </c>
      <c r="C325" s="4" t="s">
        <v>32</v>
      </c>
      <c r="D325" s="4" t="s">
        <v>144</v>
      </c>
      <c r="E325" s="17" t="s">
        <v>145</v>
      </c>
      <c r="F325" s="4" t="s">
        <v>130</v>
      </c>
      <c r="G325" s="11" t="n">
        <v>60</v>
      </c>
      <c r="H325" s="4" t="s">
        <v>126</v>
      </c>
      <c r="I325" s="11"/>
      <c r="J325" s="11" t="str">
        <f aca="false">IF(AND(ISNUMBER(G325),ISNUMBER(I325)),I325-G325,"")</f>
        <v/>
      </c>
      <c r="K325" s="10" t="n">
        <f aca="false">IF(H325="Done",1,IF(H325="Partial",0.5,IF(H325="Planned","",0)))</f>
        <v>0</v>
      </c>
      <c r="L325" s="17"/>
      <c r="M325" s="17" t="s">
        <v>153</v>
      </c>
      <c r="N325" s="17"/>
    </row>
    <row r="326" customFormat="false" ht="15" hidden="false" customHeight="false" outlineLevel="0" collapsed="false">
      <c r="A326" s="4" t="n">
        <v>325</v>
      </c>
      <c r="B326" s="15" t="n">
        <v>46300</v>
      </c>
      <c r="C326" s="4" t="s">
        <v>29</v>
      </c>
      <c r="D326" s="4" t="s">
        <v>131</v>
      </c>
      <c r="E326" s="17" t="s">
        <v>132</v>
      </c>
      <c r="F326" s="4" t="s">
        <v>130</v>
      </c>
      <c r="G326" s="11" t="n">
        <v>20</v>
      </c>
      <c r="H326" s="4" t="s">
        <v>55</v>
      </c>
      <c r="I326" s="11" t="n">
        <v>24</v>
      </c>
      <c r="J326" s="11" t="n">
        <f aca="false">IF(AND(ISNUMBER(G326),ISNUMBER(I326)),I326-G326,"")</f>
        <v>4</v>
      </c>
      <c r="K326" s="10" t="n">
        <f aca="false">IF(H326="Done",1,IF(H326="Partial",0.5,IF(H326="Planned","",0)))</f>
        <v>1</v>
      </c>
      <c r="L326" s="17"/>
      <c r="M326" s="17"/>
      <c r="N326" s="17" t="s">
        <v>133</v>
      </c>
    </row>
    <row r="327" customFormat="false" ht="15" hidden="false" customHeight="false" outlineLevel="0" collapsed="false">
      <c r="A327" s="4" t="n">
        <v>326</v>
      </c>
      <c r="B327" s="15" t="n">
        <v>46300</v>
      </c>
      <c r="C327" s="4" t="s">
        <v>30</v>
      </c>
      <c r="D327" s="4" t="s">
        <v>156</v>
      </c>
      <c r="E327" s="17" t="s">
        <v>157</v>
      </c>
      <c r="F327" s="4" t="s">
        <v>121</v>
      </c>
      <c r="G327" s="11" t="n">
        <v>30</v>
      </c>
      <c r="H327" s="4" t="s">
        <v>55</v>
      </c>
      <c r="I327" s="11" t="n">
        <v>21</v>
      </c>
      <c r="J327" s="11" t="n">
        <f aca="false">IF(AND(ISNUMBER(G327),ISNUMBER(I327)),I327-G327,"")</f>
        <v>-9</v>
      </c>
      <c r="K327" s="10" t="n">
        <f aca="false">IF(H327="Done",1,IF(H327="Partial",0.5,IF(H327="Planned","",0)))</f>
        <v>1</v>
      </c>
      <c r="L327" s="17"/>
      <c r="M327" s="17"/>
      <c r="N327" s="17" t="s">
        <v>158</v>
      </c>
    </row>
    <row r="328" customFormat="false" ht="23.85" hidden="false" customHeight="false" outlineLevel="0" collapsed="false">
      <c r="A328" s="4" t="n">
        <v>327</v>
      </c>
      <c r="B328" s="15" t="n">
        <v>46300</v>
      </c>
      <c r="C328" s="4" t="s">
        <v>31</v>
      </c>
      <c r="D328" s="4" t="s">
        <v>119</v>
      </c>
      <c r="E328" s="17" t="s">
        <v>120</v>
      </c>
      <c r="F328" s="4" t="s">
        <v>118</v>
      </c>
      <c r="G328" s="11" t="n">
        <v>60</v>
      </c>
      <c r="H328" s="4" t="s">
        <v>126</v>
      </c>
      <c r="I328" s="11"/>
      <c r="J328" s="11" t="str">
        <f aca="false">IF(AND(ISNUMBER(G328),ISNUMBER(I328)),I328-G328,"")</f>
        <v/>
      </c>
      <c r="K328" s="10" t="n">
        <f aca="false">IF(H328="Done",1,IF(H328="Partial",0.5,IF(H328="Planned","",0)))</f>
        <v>0</v>
      </c>
      <c r="L328" s="17"/>
      <c r="M328" s="17" t="s">
        <v>153</v>
      </c>
      <c r="N328" s="17" t="s">
        <v>123</v>
      </c>
    </row>
    <row r="329" customFormat="false" ht="15" hidden="false" customHeight="false" outlineLevel="0" collapsed="false">
      <c r="A329" s="4" t="n">
        <v>328</v>
      </c>
      <c r="B329" s="15" t="n">
        <v>46301</v>
      </c>
      <c r="C329" s="4" t="s">
        <v>29</v>
      </c>
      <c r="D329" s="4" t="s">
        <v>131</v>
      </c>
      <c r="E329" s="17" t="s">
        <v>132</v>
      </c>
      <c r="F329" s="4" t="s">
        <v>118</v>
      </c>
      <c r="G329" s="11" t="n">
        <v>20</v>
      </c>
      <c r="H329" s="4" t="s">
        <v>139</v>
      </c>
      <c r="I329" s="11" t="n">
        <v>13</v>
      </c>
      <c r="J329" s="11" t="n">
        <f aca="false">IF(AND(ISNUMBER(G329),ISNUMBER(I329)),I329-G329,"")</f>
        <v>-7</v>
      </c>
      <c r="K329" s="10" t="n">
        <f aca="false">IF(H329="Done",1,IF(H329="Partial",0.5,IF(H329="Planned","",0)))</f>
        <v>0.5</v>
      </c>
      <c r="L329" s="17"/>
      <c r="M329" s="17"/>
      <c r="N329" s="17" t="s">
        <v>133</v>
      </c>
    </row>
    <row r="330" customFormat="false" ht="23.85" hidden="false" customHeight="false" outlineLevel="0" collapsed="false">
      <c r="A330" s="4" t="n">
        <v>329</v>
      </c>
      <c r="B330" s="15" t="n">
        <v>46301</v>
      </c>
      <c r="C330" s="4" t="s">
        <v>31</v>
      </c>
      <c r="D330" s="4" t="s">
        <v>119</v>
      </c>
      <c r="E330" s="17" t="s">
        <v>120</v>
      </c>
      <c r="F330" s="4" t="s">
        <v>118</v>
      </c>
      <c r="G330" s="11" t="n">
        <v>60</v>
      </c>
      <c r="H330" s="4" t="s">
        <v>150</v>
      </c>
      <c r="I330" s="11"/>
      <c r="J330" s="11" t="str">
        <f aca="false">IF(AND(ISNUMBER(G330),ISNUMBER(I330)),I330-G330,"")</f>
        <v/>
      </c>
      <c r="K330" s="10" t="n">
        <f aca="false">IF(H330="Done",1,IF(H330="Partial",0.5,IF(H330="Planned","",0)))</f>
        <v>0</v>
      </c>
      <c r="L330" s="17"/>
      <c r="M330" s="17" t="s">
        <v>163</v>
      </c>
      <c r="N330" s="17" t="s">
        <v>123</v>
      </c>
    </row>
    <row r="331" customFormat="false" ht="23.85" hidden="false" customHeight="false" outlineLevel="0" collapsed="false">
      <c r="A331" s="4" t="n">
        <v>330</v>
      </c>
      <c r="B331" s="15" t="n">
        <v>46301</v>
      </c>
      <c r="C331" s="4" t="s">
        <v>31</v>
      </c>
      <c r="D331" s="4" t="s">
        <v>136</v>
      </c>
      <c r="E331" s="17" t="s">
        <v>137</v>
      </c>
      <c r="F331" s="4" t="s">
        <v>118</v>
      </c>
      <c r="G331" s="11" t="n">
        <v>120</v>
      </c>
      <c r="H331" s="4" t="s">
        <v>55</v>
      </c>
      <c r="I331" s="11" t="n">
        <v>185</v>
      </c>
      <c r="J331" s="11" t="n">
        <f aca="false">IF(AND(ISNUMBER(G331),ISNUMBER(I331)),I331-G331,"")</f>
        <v>65</v>
      </c>
      <c r="K331" s="10" t="n">
        <f aca="false">IF(H331="Done",1,IF(H331="Partial",0.5,IF(H331="Planned","",0)))</f>
        <v>1</v>
      </c>
      <c r="L331" s="17" t="s">
        <v>122</v>
      </c>
      <c r="M331" s="17"/>
      <c r="N331" s="17" t="s">
        <v>123</v>
      </c>
    </row>
    <row r="332" customFormat="false" ht="15" hidden="false" customHeight="false" outlineLevel="0" collapsed="false">
      <c r="A332" s="4" t="n">
        <v>331</v>
      </c>
      <c r="B332" s="15" t="n">
        <v>46301</v>
      </c>
      <c r="C332" s="4" t="s">
        <v>29</v>
      </c>
      <c r="D332" s="4" t="s">
        <v>116</v>
      </c>
      <c r="E332" s="17" t="s">
        <v>117</v>
      </c>
      <c r="F332" s="4" t="s">
        <v>130</v>
      </c>
      <c r="G332" s="11" t="n">
        <v>15</v>
      </c>
      <c r="H332" s="4" t="s">
        <v>150</v>
      </c>
      <c r="I332" s="11"/>
      <c r="J332" s="11" t="str">
        <f aca="false">IF(AND(ISNUMBER(G332),ISNUMBER(I332)),I332-G332,"")</f>
        <v/>
      </c>
      <c r="K332" s="10" t="n">
        <f aca="false">IF(H332="Done",1,IF(H332="Partial",0.5,IF(H332="Planned","",0)))</f>
        <v>0</v>
      </c>
      <c r="L332" s="17"/>
      <c r="M332" s="17" t="s">
        <v>163</v>
      </c>
      <c r="N332" s="17"/>
    </row>
    <row r="333" customFormat="false" ht="15" hidden="false" customHeight="false" outlineLevel="0" collapsed="false">
      <c r="A333" s="4" t="n">
        <v>332</v>
      </c>
      <c r="B333" s="15" t="n">
        <v>46302</v>
      </c>
      <c r="C333" s="4" t="s">
        <v>30</v>
      </c>
      <c r="D333" s="4" t="s">
        <v>128</v>
      </c>
      <c r="E333" s="17" t="s">
        <v>129</v>
      </c>
      <c r="F333" s="4" t="s">
        <v>121</v>
      </c>
      <c r="G333" s="11" t="n">
        <v>40</v>
      </c>
      <c r="H333" s="4" t="s">
        <v>154</v>
      </c>
      <c r="I333" s="11"/>
      <c r="J333" s="11" t="str">
        <f aca="false">IF(AND(ISNUMBER(G333),ISNUMBER(I333)),I333-G333,"")</f>
        <v/>
      </c>
      <c r="K333" s="10" t="n">
        <f aca="false">IF(H333="Done",1,IF(H333="Partial",0.5,IF(H333="Planned","",0)))</f>
        <v>0</v>
      </c>
      <c r="L333" s="17"/>
      <c r="M333" s="17" t="s">
        <v>155</v>
      </c>
      <c r="N333" s="17"/>
    </row>
    <row r="334" customFormat="false" ht="15" hidden="false" customHeight="false" outlineLevel="0" collapsed="false">
      <c r="A334" s="4" t="n">
        <v>333</v>
      </c>
      <c r="B334" s="15" t="n">
        <v>46302</v>
      </c>
      <c r="C334" s="4" t="s">
        <v>29</v>
      </c>
      <c r="D334" s="4" t="s">
        <v>116</v>
      </c>
      <c r="E334" s="17" t="s">
        <v>117</v>
      </c>
      <c r="F334" s="4" t="s">
        <v>121</v>
      </c>
      <c r="G334" s="11" t="n">
        <v>15</v>
      </c>
      <c r="H334" s="4" t="s">
        <v>55</v>
      </c>
      <c r="I334" s="11" t="n">
        <v>19</v>
      </c>
      <c r="J334" s="11" t="n">
        <f aca="false">IF(AND(ISNUMBER(G334),ISNUMBER(I334)),I334-G334,"")</f>
        <v>4</v>
      </c>
      <c r="K334" s="10" t="n">
        <f aca="false">IF(H334="Done",1,IF(H334="Partial",0.5,IF(H334="Planned","",0)))</f>
        <v>1</v>
      </c>
      <c r="L334" s="17"/>
      <c r="M334" s="17"/>
      <c r="N334" s="17"/>
    </row>
    <row r="335" customFormat="false" ht="15" hidden="false" customHeight="false" outlineLevel="0" collapsed="false">
      <c r="A335" s="4" t="n">
        <v>334</v>
      </c>
      <c r="B335" s="15" t="n">
        <v>46302</v>
      </c>
      <c r="C335" s="4" t="s">
        <v>29</v>
      </c>
      <c r="D335" s="4" t="s">
        <v>131</v>
      </c>
      <c r="E335" s="17" t="s">
        <v>132</v>
      </c>
      <c r="F335" s="4" t="s">
        <v>121</v>
      </c>
      <c r="G335" s="11" t="n">
        <v>20</v>
      </c>
      <c r="H335" s="4" t="s">
        <v>55</v>
      </c>
      <c r="I335" s="11" t="n">
        <v>24</v>
      </c>
      <c r="J335" s="11" t="n">
        <f aca="false">IF(AND(ISNUMBER(G335),ISNUMBER(I335)),I335-G335,"")</f>
        <v>4</v>
      </c>
      <c r="K335" s="10" t="n">
        <f aca="false">IF(H335="Done",1,IF(H335="Partial",0.5,IF(H335="Planned","",0)))</f>
        <v>1</v>
      </c>
      <c r="L335" s="17"/>
      <c r="M335" s="17"/>
      <c r="N335" s="17" t="s">
        <v>133</v>
      </c>
    </row>
    <row r="336" customFormat="false" ht="15" hidden="false" customHeight="false" outlineLevel="0" collapsed="false">
      <c r="A336" s="4" t="n">
        <v>335</v>
      </c>
      <c r="B336" s="15" t="n">
        <v>46302</v>
      </c>
      <c r="C336" s="4" t="s">
        <v>33</v>
      </c>
      <c r="D336" s="4" t="s">
        <v>151</v>
      </c>
      <c r="E336" s="17" t="s">
        <v>152</v>
      </c>
      <c r="F336" s="4" t="s">
        <v>130</v>
      </c>
      <c r="G336" s="11" t="n">
        <v>30</v>
      </c>
      <c r="H336" s="4" t="s">
        <v>154</v>
      </c>
      <c r="I336" s="11"/>
      <c r="J336" s="11" t="str">
        <f aca="false">IF(AND(ISNUMBER(G336),ISNUMBER(I336)),I336-G336,"")</f>
        <v/>
      </c>
      <c r="K336" s="10" t="n">
        <f aca="false">IF(H336="Done",1,IF(H336="Partial",0.5,IF(H336="Planned","",0)))</f>
        <v>0</v>
      </c>
      <c r="L336" s="17"/>
      <c r="M336" s="17" t="s">
        <v>146</v>
      </c>
      <c r="N336" s="17"/>
    </row>
    <row r="337" customFormat="false" ht="15" hidden="false" customHeight="false" outlineLevel="0" collapsed="false">
      <c r="A337" s="4" t="n">
        <v>336</v>
      </c>
      <c r="B337" s="15" t="n">
        <v>46302</v>
      </c>
      <c r="C337" s="4" t="s">
        <v>30</v>
      </c>
      <c r="D337" s="4" t="s">
        <v>156</v>
      </c>
      <c r="E337" s="17" t="s">
        <v>157</v>
      </c>
      <c r="F337" s="4" t="s">
        <v>130</v>
      </c>
      <c r="G337" s="11" t="n">
        <v>30</v>
      </c>
      <c r="H337" s="4" t="s">
        <v>126</v>
      </c>
      <c r="I337" s="11"/>
      <c r="J337" s="11" t="str">
        <f aca="false">IF(AND(ISNUMBER(G337),ISNUMBER(I337)),I337-G337,"")</f>
        <v/>
      </c>
      <c r="K337" s="10" t="n">
        <f aca="false">IF(H337="Done",1,IF(H337="Partial",0.5,IF(H337="Planned","",0)))</f>
        <v>0</v>
      </c>
      <c r="L337" s="17"/>
      <c r="M337" s="17" t="s">
        <v>155</v>
      </c>
      <c r="N337" s="17" t="s">
        <v>158</v>
      </c>
    </row>
    <row r="338" customFormat="false" ht="23.85" hidden="false" customHeight="false" outlineLevel="0" collapsed="false">
      <c r="A338" s="4" t="n">
        <v>337</v>
      </c>
      <c r="B338" s="15" t="n">
        <v>46302</v>
      </c>
      <c r="C338" s="4" t="s">
        <v>31</v>
      </c>
      <c r="D338" s="4" t="s">
        <v>136</v>
      </c>
      <c r="E338" s="17" t="s">
        <v>137</v>
      </c>
      <c r="F338" s="4" t="s">
        <v>118</v>
      </c>
      <c r="G338" s="11" t="n">
        <v>120</v>
      </c>
      <c r="H338" s="4" t="s">
        <v>55</v>
      </c>
      <c r="I338" s="11" t="n">
        <v>144</v>
      </c>
      <c r="J338" s="11" t="n">
        <f aca="false">IF(AND(ISNUMBER(G338),ISNUMBER(I338)),I338-G338,"")</f>
        <v>24</v>
      </c>
      <c r="K338" s="10" t="n">
        <f aca="false">IF(H338="Done",1,IF(H338="Partial",0.5,IF(H338="Planned","",0)))</f>
        <v>1</v>
      </c>
      <c r="L338" s="17"/>
      <c r="M338" s="17"/>
      <c r="N338" s="17" t="s">
        <v>123</v>
      </c>
    </row>
    <row r="339" customFormat="false" ht="15" hidden="false" customHeight="false" outlineLevel="0" collapsed="false">
      <c r="A339" s="4" t="n">
        <v>338</v>
      </c>
      <c r="B339" s="15" t="n">
        <v>46303</v>
      </c>
      <c r="C339" s="4" t="s">
        <v>29</v>
      </c>
      <c r="D339" s="4" t="s">
        <v>116</v>
      </c>
      <c r="E339" s="17" t="s">
        <v>117</v>
      </c>
      <c r="F339" s="4" t="s">
        <v>130</v>
      </c>
      <c r="G339" s="11" t="n">
        <v>15</v>
      </c>
      <c r="H339" s="4" t="s">
        <v>126</v>
      </c>
      <c r="I339" s="11"/>
      <c r="J339" s="11" t="str">
        <f aca="false">IF(AND(ISNUMBER(G339),ISNUMBER(I339)),I339-G339,"")</f>
        <v/>
      </c>
      <c r="K339" s="10" t="n">
        <f aca="false">IF(H339="Done",1,IF(H339="Partial",0.5,IF(H339="Planned","",0)))</f>
        <v>0</v>
      </c>
      <c r="L339" s="17"/>
      <c r="M339" s="17" t="s">
        <v>153</v>
      </c>
      <c r="N339" s="17"/>
    </row>
    <row r="340" customFormat="false" ht="15" hidden="false" customHeight="false" outlineLevel="0" collapsed="false">
      <c r="A340" s="4" t="n">
        <v>339</v>
      </c>
      <c r="B340" s="15" t="n">
        <v>46303</v>
      </c>
      <c r="C340" s="4" t="s">
        <v>31</v>
      </c>
      <c r="D340" s="4" t="s">
        <v>159</v>
      </c>
      <c r="E340" s="17" t="s">
        <v>160</v>
      </c>
      <c r="F340" s="4" t="s">
        <v>121</v>
      </c>
      <c r="G340" s="11" t="n">
        <v>60</v>
      </c>
      <c r="H340" s="4" t="s">
        <v>55</v>
      </c>
      <c r="I340" s="11" t="n">
        <v>71</v>
      </c>
      <c r="J340" s="11" t="n">
        <f aca="false">IF(AND(ISNUMBER(G340),ISNUMBER(I340)),I340-G340,"")</f>
        <v>11</v>
      </c>
      <c r="K340" s="10" t="n">
        <f aca="false">IF(H340="Done",1,IF(H340="Partial",0.5,IF(H340="Planned","",0)))</f>
        <v>1</v>
      </c>
      <c r="L340" s="17" t="s">
        <v>122</v>
      </c>
      <c r="M340" s="17"/>
      <c r="N340" s="17"/>
    </row>
    <row r="341" customFormat="false" ht="15" hidden="false" customHeight="false" outlineLevel="0" collapsed="false">
      <c r="A341" s="4" t="n">
        <v>340</v>
      </c>
      <c r="B341" s="15" t="n">
        <v>46303</v>
      </c>
      <c r="C341" s="4" t="s">
        <v>30</v>
      </c>
      <c r="D341" s="4" t="s">
        <v>156</v>
      </c>
      <c r="E341" s="17" t="s">
        <v>157</v>
      </c>
      <c r="F341" s="4" t="s">
        <v>130</v>
      </c>
      <c r="G341" s="11" t="n">
        <v>30</v>
      </c>
      <c r="H341" s="4" t="s">
        <v>126</v>
      </c>
      <c r="I341" s="11"/>
      <c r="J341" s="11" t="str">
        <f aca="false">IF(AND(ISNUMBER(G341),ISNUMBER(I341)),I341-G341,"")</f>
        <v/>
      </c>
      <c r="K341" s="10" t="n">
        <f aca="false">IF(H341="Done",1,IF(H341="Partial",0.5,IF(H341="Planned","",0)))</f>
        <v>0</v>
      </c>
      <c r="L341" s="17"/>
      <c r="M341" s="17" t="s">
        <v>153</v>
      </c>
      <c r="N341" s="17" t="s">
        <v>158</v>
      </c>
    </row>
    <row r="342" customFormat="false" ht="15" hidden="false" customHeight="false" outlineLevel="0" collapsed="false">
      <c r="A342" s="4" t="n">
        <v>341</v>
      </c>
      <c r="B342" s="15" t="n">
        <v>46305</v>
      </c>
      <c r="C342" s="4" t="s">
        <v>32</v>
      </c>
      <c r="D342" s="4" t="s">
        <v>144</v>
      </c>
      <c r="E342" s="17" t="s">
        <v>145</v>
      </c>
      <c r="F342" s="4" t="s">
        <v>130</v>
      </c>
      <c r="G342" s="11" t="n">
        <v>60</v>
      </c>
      <c r="H342" s="4" t="s">
        <v>154</v>
      </c>
      <c r="I342" s="11"/>
      <c r="J342" s="11" t="str">
        <f aca="false">IF(AND(ISNUMBER(G342),ISNUMBER(I342)),I342-G342,"")</f>
        <v/>
      </c>
      <c r="K342" s="10" t="n">
        <f aca="false">IF(H342="Done",1,IF(H342="Partial",0.5,IF(H342="Planned","",0)))</f>
        <v>0</v>
      </c>
      <c r="L342" s="17"/>
      <c r="M342" s="17" t="s">
        <v>153</v>
      </c>
      <c r="N342" s="17"/>
    </row>
    <row r="343" customFormat="false" ht="15" hidden="false" customHeight="false" outlineLevel="0" collapsed="false">
      <c r="A343" s="4" t="n">
        <v>342</v>
      </c>
      <c r="B343" s="15" t="n">
        <v>46305</v>
      </c>
      <c r="C343" s="4" t="s">
        <v>29</v>
      </c>
      <c r="D343" s="4" t="s">
        <v>116</v>
      </c>
      <c r="E343" s="17" t="s">
        <v>117</v>
      </c>
      <c r="F343" s="4" t="s">
        <v>121</v>
      </c>
      <c r="G343" s="11" t="n">
        <v>15</v>
      </c>
      <c r="H343" s="4" t="s">
        <v>55</v>
      </c>
      <c r="I343" s="11" t="n">
        <v>16</v>
      </c>
      <c r="J343" s="11" t="n">
        <f aca="false">IF(AND(ISNUMBER(G343),ISNUMBER(I343)),I343-G343,"")</f>
        <v>1</v>
      </c>
      <c r="K343" s="10" t="n">
        <f aca="false">IF(H343="Done",1,IF(H343="Partial",0.5,IF(H343="Planned","",0)))</f>
        <v>1</v>
      </c>
      <c r="L343" s="17"/>
      <c r="M343" s="17"/>
      <c r="N343" s="17"/>
    </row>
    <row r="344" customFormat="false" ht="23.85" hidden="false" customHeight="false" outlineLevel="0" collapsed="false">
      <c r="A344" s="4" t="n">
        <v>343</v>
      </c>
      <c r="B344" s="15" t="n">
        <v>46305</v>
      </c>
      <c r="C344" s="4" t="s">
        <v>31</v>
      </c>
      <c r="D344" s="4" t="s">
        <v>136</v>
      </c>
      <c r="E344" s="17" t="s">
        <v>137</v>
      </c>
      <c r="F344" s="4" t="s">
        <v>121</v>
      </c>
      <c r="G344" s="11" t="n">
        <v>120</v>
      </c>
      <c r="H344" s="4" t="s">
        <v>55</v>
      </c>
      <c r="I344" s="11" t="n">
        <v>197</v>
      </c>
      <c r="J344" s="11" t="n">
        <f aca="false">IF(AND(ISNUMBER(G344),ISNUMBER(I344)),I344-G344,"")</f>
        <v>77</v>
      </c>
      <c r="K344" s="10" t="n">
        <f aca="false">IF(H344="Done",1,IF(H344="Partial",0.5,IF(H344="Planned","",0)))</f>
        <v>1</v>
      </c>
      <c r="L344" s="17"/>
      <c r="M344" s="17"/>
      <c r="N344" s="17" t="s">
        <v>123</v>
      </c>
    </row>
    <row r="345" customFormat="false" ht="15" hidden="false" customHeight="false" outlineLevel="0" collapsed="false">
      <c r="A345" s="4" t="n">
        <v>344</v>
      </c>
      <c r="B345" s="15" t="n">
        <v>46306</v>
      </c>
      <c r="C345" s="4" t="s">
        <v>30</v>
      </c>
      <c r="D345" s="4" t="s">
        <v>128</v>
      </c>
      <c r="E345" s="17" t="s">
        <v>129</v>
      </c>
      <c r="F345" s="4" t="s">
        <v>121</v>
      </c>
      <c r="G345" s="11" t="n">
        <v>40</v>
      </c>
      <c r="H345" s="4" t="s">
        <v>154</v>
      </c>
      <c r="I345" s="11"/>
      <c r="J345" s="11" t="str">
        <f aca="false">IF(AND(ISNUMBER(G345),ISNUMBER(I345)),I345-G345,"")</f>
        <v/>
      </c>
      <c r="K345" s="10" t="n">
        <f aca="false">IF(H345="Done",1,IF(H345="Partial",0.5,IF(H345="Planned","",0)))</f>
        <v>0</v>
      </c>
      <c r="L345" s="17"/>
      <c r="M345" s="17" t="s">
        <v>147</v>
      </c>
      <c r="N345" s="17"/>
    </row>
    <row r="346" customFormat="false" ht="15" hidden="false" customHeight="false" outlineLevel="0" collapsed="false">
      <c r="A346" s="4" t="n">
        <v>345</v>
      </c>
      <c r="B346" s="15" t="n">
        <v>46306</v>
      </c>
      <c r="C346" s="4" t="s">
        <v>31</v>
      </c>
      <c r="D346" s="4" t="s">
        <v>159</v>
      </c>
      <c r="E346" s="17" t="s">
        <v>160</v>
      </c>
      <c r="F346" s="4" t="s">
        <v>130</v>
      </c>
      <c r="G346" s="11" t="n">
        <v>60</v>
      </c>
      <c r="H346" s="4" t="s">
        <v>55</v>
      </c>
      <c r="I346" s="11" t="n">
        <v>74</v>
      </c>
      <c r="J346" s="11" t="n">
        <f aca="false">IF(AND(ISNUMBER(G346),ISNUMBER(I346)),I346-G346,"")</f>
        <v>14</v>
      </c>
      <c r="K346" s="10" t="n">
        <f aca="false">IF(H346="Done",1,IF(H346="Partial",0.5,IF(H346="Planned","",0)))</f>
        <v>1</v>
      </c>
      <c r="L346" s="17"/>
      <c r="M346" s="17"/>
      <c r="N346" s="17"/>
    </row>
    <row r="347" customFormat="false" ht="15" hidden="false" customHeight="false" outlineLevel="0" collapsed="false">
      <c r="A347" s="4" t="n">
        <v>346</v>
      </c>
      <c r="B347" s="15" t="n">
        <v>46306</v>
      </c>
      <c r="C347" s="4" t="s">
        <v>33</v>
      </c>
      <c r="D347" s="4" t="s">
        <v>151</v>
      </c>
      <c r="E347" s="17" t="s">
        <v>152</v>
      </c>
      <c r="F347" s="4" t="s">
        <v>118</v>
      </c>
      <c r="G347" s="11" t="n">
        <v>30</v>
      </c>
      <c r="H347" s="4" t="s">
        <v>139</v>
      </c>
      <c r="I347" s="11" t="n">
        <v>18</v>
      </c>
      <c r="J347" s="11" t="n">
        <f aca="false">IF(AND(ISNUMBER(G347),ISNUMBER(I347)),I347-G347,"")</f>
        <v>-12</v>
      </c>
      <c r="K347" s="10" t="n">
        <f aca="false">IF(H347="Done",1,IF(H347="Partial",0.5,IF(H347="Planned","",0)))</f>
        <v>0.5</v>
      </c>
      <c r="L347" s="17"/>
      <c r="M347" s="17"/>
      <c r="N347" s="17"/>
    </row>
    <row r="348" customFormat="false" ht="23.85" hidden="false" customHeight="false" outlineLevel="0" collapsed="false">
      <c r="A348" s="4" t="n">
        <v>347</v>
      </c>
      <c r="B348" s="15" t="n">
        <v>46307</v>
      </c>
      <c r="C348" s="4" t="s">
        <v>31</v>
      </c>
      <c r="D348" s="4" t="s">
        <v>119</v>
      </c>
      <c r="E348" s="17" t="s">
        <v>120</v>
      </c>
      <c r="F348" s="4" t="s">
        <v>118</v>
      </c>
      <c r="G348" s="11" t="n">
        <v>60</v>
      </c>
      <c r="H348" s="4" t="s">
        <v>126</v>
      </c>
      <c r="I348" s="11"/>
      <c r="J348" s="11" t="str">
        <f aca="false">IF(AND(ISNUMBER(G348),ISNUMBER(I348)),I348-G348,"")</f>
        <v/>
      </c>
      <c r="K348" s="10" t="n">
        <f aca="false">IF(H348="Done",1,IF(H348="Partial",0.5,IF(H348="Planned","",0)))</f>
        <v>0</v>
      </c>
      <c r="L348" s="17"/>
      <c r="M348" s="17" t="s">
        <v>155</v>
      </c>
      <c r="N348" s="17" t="s">
        <v>123</v>
      </c>
    </row>
    <row r="349" customFormat="false" ht="15" hidden="false" customHeight="false" outlineLevel="0" collapsed="false">
      <c r="A349" s="4" t="n">
        <v>348</v>
      </c>
      <c r="B349" s="15" t="n">
        <v>46307</v>
      </c>
      <c r="C349" s="4" t="s">
        <v>30</v>
      </c>
      <c r="D349" s="4" t="s">
        <v>156</v>
      </c>
      <c r="E349" s="17" t="s">
        <v>157</v>
      </c>
      <c r="F349" s="4" t="s">
        <v>130</v>
      </c>
      <c r="G349" s="11" t="n">
        <v>30</v>
      </c>
      <c r="H349" s="4" t="s">
        <v>126</v>
      </c>
      <c r="I349" s="11"/>
      <c r="J349" s="11" t="str">
        <f aca="false">IF(AND(ISNUMBER(G349),ISNUMBER(I349)),I349-G349,"")</f>
        <v/>
      </c>
      <c r="K349" s="10" t="n">
        <f aca="false">IF(H349="Done",1,IF(H349="Partial",0.5,IF(H349="Planned","",0)))</f>
        <v>0</v>
      </c>
      <c r="L349" s="17"/>
      <c r="M349" s="17" t="s">
        <v>163</v>
      </c>
      <c r="N349" s="17" t="s">
        <v>158</v>
      </c>
    </row>
    <row r="350" customFormat="false" ht="23.85" hidden="false" customHeight="false" outlineLevel="0" collapsed="false">
      <c r="A350" s="4" t="n">
        <v>349</v>
      </c>
      <c r="B350" s="15" t="n">
        <v>46307</v>
      </c>
      <c r="C350" s="4" t="s">
        <v>31</v>
      </c>
      <c r="D350" s="4" t="s">
        <v>136</v>
      </c>
      <c r="E350" s="17" t="s">
        <v>137</v>
      </c>
      <c r="F350" s="4" t="s">
        <v>130</v>
      </c>
      <c r="G350" s="11" t="n">
        <v>120</v>
      </c>
      <c r="H350" s="4" t="s">
        <v>55</v>
      </c>
      <c r="I350" s="11" t="n">
        <v>156</v>
      </c>
      <c r="J350" s="11" t="n">
        <f aca="false">IF(AND(ISNUMBER(G350),ISNUMBER(I350)),I350-G350,"")</f>
        <v>36</v>
      </c>
      <c r="K350" s="10" t="n">
        <f aca="false">IF(H350="Done",1,IF(H350="Partial",0.5,IF(H350="Planned","",0)))</f>
        <v>1</v>
      </c>
      <c r="L350" s="17"/>
      <c r="M350" s="17"/>
      <c r="N350" s="17" t="s">
        <v>123</v>
      </c>
    </row>
    <row r="351" customFormat="false" ht="15" hidden="false" customHeight="false" outlineLevel="0" collapsed="false">
      <c r="A351" s="4" t="n">
        <v>350</v>
      </c>
      <c r="B351" s="15" t="n">
        <v>46307</v>
      </c>
      <c r="C351" s="4" t="s">
        <v>29</v>
      </c>
      <c r="D351" s="4" t="s">
        <v>116</v>
      </c>
      <c r="E351" s="17" t="s">
        <v>117</v>
      </c>
      <c r="F351" s="4" t="s">
        <v>118</v>
      </c>
      <c r="G351" s="11" t="n">
        <v>15</v>
      </c>
      <c r="H351" s="4" t="s">
        <v>55</v>
      </c>
      <c r="I351" s="11" t="n">
        <v>14</v>
      </c>
      <c r="J351" s="11" t="n">
        <f aca="false">IF(AND(ISNUMBER(G351),ISNUMBER(I351)),I351-G351,"")</f>
        <v>-1</v>
      </c>
      <c r="K351" s="10" t="n">
        <f aca="false">IF(H351="Done",1,IF(H351="Partial",0.5,IF(H351="Planned","",0)))</f>
        <v>1</v>
      </c>
      <c r="L351" s="17"/>
      <c r="M351" s="17"/>
      <c r="N351" s="17"/>
    </row>
    <row r="352" customFormat="false" ht="15" hidden="false" customHeight="false" outlineLevel="0" collapsed="false">
      <c r="A352" s="4" t="n">
        <v>351</v>
      </c>
      <c r="B352" s="15" t="n">
        <v>46307</v>
      </c>
      <c r="C352" s="4" t="s">
        <v>34</v>
      </c>
      <c r="D352" s="4" t="s">
        <v>124</v>
      </c>
      <c r="E352" s="17" t="s">
        <v>125</v>
      </c>
      <c r="F352" s="4" t="s">
        <v>130</v>
      </c>
      <c r="G352" s="11" t="n">
        <v>20</v>
      </c>
      <c r="H352" s="4" t="s">
        <v>55</v>
      </c>
      <c r="I352" s="11" t="n">
        <v>27</v>
      </c>
      <c r="J352" s="11" t="n">
        <f aca="false">IF(AND(ISNUMBER(G352),ISNUMBER(I352)),I352-G352,"")</f>
        <v>7</v>
      </c>
      <c r="K352" s="10" t="n">
        <f aca="false">IF(H352="Done",1,IF(H352="Partial",0.5,IF(H352="Planned","",0)))</f>
        <v>1</v>
      </c>
      <c r="L352" s="17"/>
      <c r="M352" s="17"/>
      <c r="N352" s="17"/>
    </row>
    <row r="353" customFormat="false" ht="23.85" hidden="false" customHeight="false" outlineLevel="0" collapsed="false">
      <c r="A353" s="4" t="n">
        <v>352</v>
      </c>
      <c r="B353" s="15" t="n">
        <v>46308</v>
      </c>
      <c r="C353" s="4" t="s">
        <v>31</v>
      </c>
      <c r="D353" s="4" t="s">
        <v>136</v>
      </c>
      <c r="E353" s="17" t="s">
        <v>137</v>
      </c>
      <c r="F353" s="4" t="s">
        <v>130</v>
      </c>
      <c r="G353" s="11" t="n">
        <v>120</v>
      </c>
      <c r="H353" s="4" t="s">
        <v>154</v>
      </c>
      <c r="I353" s="11"/>
      <c r="J353" s="11" t="str">
        <f aca="false">IF(AND(ISNUMBER(G353),ISNUMBER(I353)),I353-G353,"")</f>
        <v/>
      </c>
      <c r="K353" s="10" t="n">
        <f aca="false">IF(H353="Done",1,IF(H353="Partial",0.5,IF(H353="Planned","",0)))</f>
        <v>0</v>
      </c>
      <c r="L353" s="17"/>
      <c r="M353" s="17" t="s">
        <v>153</v>
      </c>
      <c r="N353" s="17" t="s">
        <v>123</v>
      </c>
    </row>
    <row r="354" customFormat="false" ht="15" hidden="false" customHeight="false" outlineLevel="0" collapsed="false">
      <c r="A354" s="4" t="n">
        <v>353</v>
      </c>
      <c r="B354" s="15" t="n">
        <v>46308</v>
      </c>
      <c r="C354" s="4" t="s">
        <v>34</v>
      </c>
      <c r="D354" s="4" t="s">
        <v>124</v>
      </c>
      <c r="E354" s="17" t="s">
        <v>125</v>
      </c>
      <c r="F354" s="4" t="s">
        <v>130</v>
      </c>
      <c r="G354" s="11" t="n">
        <v>20</v>
      </c>
      <c r="H354" s="4" t="s">
        <v>139</v>
      </c>
      <c r="I354" s="11" t="n">
        <v>14</v>
      </c>
      <c r="J354" s="11" t="n">
        <f aca="false">IF(AND(ISNUMBER(G354),ISNUMBER(I354)),I354-G354,"")</f>
        <v>-6</v>
      </c>
      <c r="K354" s="10" t="n">
        <f aca="false">IF(H354="Done",1,IF(H354="Partial",0.5,IF(H354="Planned","",0)))</f>
        <v>0.5</v>
      </c>
      <c r="L354" s="17"/>
      <c r="M354" s="17"/>
      <c r="N354" s="17"/>
    </row>
    <row r="355" customFormat="false" ht="15" hidden="false" customHeight="false" outlineLevel="0" collapsed="false">
      <c r="A355" s="4" t="n">
        <v>354</v>
      </c>
      <c r="B355" s="15" t="n">
        <v>46308</v>
      </c>
      <c r="C355" s="4" t="s">
        <v>29</v>
      </c>
      <c r="D355" s="4" t="s">
        <v>116</v>
      </c>
      <c r="E355" s="17" t="s">
        <v>117</v>
      </c>
      <c r="F355" s="4" t="s">
        <v>121</v>
      </c>
      <c r="G355" s="11" t="n">
        <v>15</v>
      </c>
      <c r="H355" s="4" t="s">
        <v>55</v>
      </c>
      <c r="I355" s="11" t="n">
        <v>20</v>
      </c>
      <c r="J355" s="11" t="n">
        <f aca="false">IF(AND(ISNUMBER(G355),ISNUMBER(I355)),I355-G355,"")</f>
        <v>5</v>
      </c>
      <c r="K355" s="10" t="n">
        <f aca="false">IF(H355="Done",1,IF(H355="Partial",0.5,IF(H355="Planned","",0)))</f>
        <v>1</v>
      </c>
      <c r="L355" s="17"/>
      <c r="M355" s="17"/>
      <c r="N355" s="17"/>
    </row>
    <row r="356" customFormat="false" ht="23.85" hidden="false" customHeight="false" outlineLevel="0" collapsed="false">
      <c r="A356" s="4" t="n">
        <v>355</v>
      </c>
      <c r="B356" s="15" t="n">
        <v>46308</v>
      </c>
      <c r="C356" s="4" t="s">
        <v>31</v>
      </c>
      <c r="D356" s="4" t="s">
        <v>119</v>
      </c>
      <c r="E356" s="17" t="s">
        <v>120</v>
      </c>
      <c r="F356" s="4" t="s">
        <v>130</v>
      </c>
      <c r="G356" s="11" t="n">
        <v>60</v>
      </c>
      <c r="H356" s="4" t="s">
        <v>150</v>
      </c>
      <c r="I356" s="11"/>
      <c r="J356" s="11" t="str">
        <f aca="false">IF(AND(ISNUMBER(G356),ISNUMBER(I356)),I356-G356,"")</f>
        <v/>
      </c>
      <c r="K356" s="10" t="n">
        <f aca="false">IF(H356="Done",1,IF(H356="Partial",0.5,IF(H356="Planned","",0)))</f>
        <v>0</v>
      </c>
      <c r="L356" s="17"/>
      <c r="M356" s="17" t="s">
        <v>153</v>
      </c>
      <c r="N356" s="17" t="s">
        <v>123</v>
      </c>
    </row>
    <row r="357" customFormat="false" ht="15" hidden="false" customHeight="false" outlineLevel="0" collapsed="false">
      <c r="A357" s="4" t="n">
        <v>356</v>
      </c>
      <c r="B357" s="15" t="n">
        <v>46310</v>
      </c>
      <c r="C357" s="4" t="s">
        <v>29</v>
      </c>
      <c r="D357" s="4" t="s">
        <v>116</v>
      </c>
      <c r="E357" s="17" t="s">
        <v>117</v>
      </c>
      <c r="F357" s="4" t="s">
        <v>130</v>
      </c>
      <c r="G357" s="11" t="n">
        <v>15</v>
      </c>
      <c r="H357" s="4" t="s">
        <v>154</v>
      </c>
      <c r="I357" s="11"/>
      <c r="J357" s="11" t="str">
        <f aca="false">IF(AND(ISNUMBER(G357),ISNUMBER(I357)),I357-G357,"")</f>
        <v/>
      </c>
      <c r="K357" s="10" t="n">
        <f aca="false">IF(H357="Done",1,IF(H357="Partial",0.5,IF(H357="Planned","",0)))</f>
        <v>0</v>
      </c>
      <c r="L357" s="17"/>
      <c r="M357" s="17" t="s">
        <v>146</v>
      </c>
      <c r="N357" s="17"/>
    </row>
    <row r="358" customFormat="false" ht="15" hidden="false" customHeight="false" outlineLevel="0" collapsed="false">
      <c r="A358" s="4" t="n">
        <v>357</v>
      </c>
      <c r="B358" s="15" t="n">
        <v>46310</v>
      </c>
      <c r="C358" s="4" t="s">
        <v>31</v>
      </c>
      <c r="D358" s="4" t="s">
        <v>159</v>
      </c>
      <c r="E358" s="17" t="s">
        <v>160</v>
      </c>
      <c r="F358" s="4" t="s">
        <v>130</v>
      </c>
      <c r="G358" s="11" t="n">
        <v>60</v>
      </c>
      <c r="H358" s="4" t="s">
        <v>55</v>
      </c>
      <c r="I358" s="11" t="n">
        <v>82</v>
      </c>
      <c r="J358" s="11" t="n">
        <f aca="false">IF(AND(ISNUMBER(G358),ISNUMBER(I358)),I358-G358,"")</f>
        <v>22</v>
      </c>
      <c r="K358" s="10" t="n">
        <f aca="false">IF(H358="Done",1,IF(H358="Partial",0.5,IF(H358="Planned","",0)))</f>
        <v>1</v>
      </c>
      <c r="L358" s="17" t="s">
        <v>122</v>
      </c>
      <c r="M358" s="17"/>
      <c r="N358" s="17"/>
    </row>
    <row r="359" customFormat="false" ht="15" hidden="false" customHeight="false" outlineLevel="0" collapsed="false">
      <c r="A359" s="4" t="n">
        <v>358</v>
      </c>
      <c r="B359" s="15" t="n">
        <v>46310</v>
      </c>
      <c r="C359" s="4" t="s">
        <v>30</v>
      </c>
      <c r="D359" s="4" t="s">
        <v>156</v>
      </c>
      <c r="E359" s="17" t="s">
        <v>157</v>
      </c>
      <c r="F359" s="4" t="s">
        <v>121</v>
      </c>
      <c r="G359" s="11" t="n">
        <v>30</v>
      </c>
      <c r="H359" s="4" t="s">
        <v>150</v>
      </c>
      <c r="I359" s="11"/>
      <c r="J359" s="11" t="str">
        <f aca="false">IF(AND(ISNUMBER(G359),ISNUMBER(I359)),I359-G359,"")</f>
        <v/>
      </c>
      <c r="K359" s="10" t="n">
        <f aca="false">IF(H359="Done",1,IF(H359="Partial",0.5,IF(H359="Planned","",0)))</f>
        <v>0</v>
      </c>
      <c r="L359" s="17"/>
      <c r="M359" s="17" t="s">
        <v>153</v>
      </c>
      <c r="N359" s="17" t="s">
        <v>158</v>
      </c>
    </row>
    <row r="360" customFormat="false" ht="23.85" hidden="false" customHeight="false" outlineLevel="0" collapsed="false">
      <c r="A360" s="4" t="n">
        <v>359</v>
      </c>
      <c r="B360" s="15" t="n">
        <v>46310</v>
      </c>
      <c r="C360" s="4" t="s">
        <v>31</v>
      </c>
      <c r="D360" s="4" t="s">
        <v>136</v>
      </c>
      <c r="E360" s="17" t="s">
        <v>137</v>
      </c>
      <c r="F360" s="4" t="s">
        <v>118</v>
      </c>
      <c r="G360" s="11" t="n">
        <v>120</v>
      </c>
      <c r="H360" s="4" t="s">
        <v>55</v>
      </c>
      <c r="I360" s="11" t="n">
        <v>143</v>
      </c>
      <c r="J360" s="11" t="n">
        <f aca="false">IF(AND(ISNUMBER(G360),ISNUMBER(I360)),I360-G360,"")</f>
        <v>23</v>
      </c>
      <c r="K360" s="10" t="n">
        <f aca="false">IF(H360="Done",1,IF(H360="Partial",0.5,IF(H360="Planned","",0)))</f>
        <v>1</v>
      </c>
      <c r="L360" s="17"/>
      <c r="M360" s="17"/>
      <c r="N360" s="17" t="s">
        <v>123</v>
      </c>
    </row>
    <row r="361" customFormat="false" ht="15" hidden="false" customHeight="false" outlineLevel="0" collapsed="false">
      <c r="A361" s="4" t="n">
        <v>360</v>
      </c>
      <c r="B361" s="15" t="n">
        <v>46311</v>
      </c>
      <c r="C361" s="4" t="s">
        <v>34</v>
      </c>
      <c r="D361" s="4" t="s">
        <v>124</v>
      </c>
      <c r="E361" s="17" t="s">
        <v>125</v>
      </c>
      <c r="F361" s="4" t="s">
        <v>130</v>
      </c>
      <c r="G361" s="11" t="n">
        <v>20</v>
      </c>
      <c r="H361" s="4" t="s">
        <v>55</v>
      </c>
      <c r="I361" s="11" t="n">
        <v>26</v>
      </c>
      <c r="J361" s="11" t="n">
        <f aca="false">IF(AND(ISNUMBER(G361),ISNUMBER(I361)),I361-G361,"")</f>
        <v>6</v>
      </c>
      <c r="K361" s="10" t="n">
        <f aca="false">IF(H361="Done",1,IF(H361="Partial",0.5,IF(H361="Planned","",0)))</f>
        <v>1</v>
      </c>
      <c r="L361" s="17"/>
      <c r="M361" s="17"/>
      <c r="N361" s="17"/>
    </row>
    <row r="362" customFormat="false" ht="15" hidden="false" customHeight="false" outlineLevel="0" collapsed="false">
      <c r="A362" s="4" t="n">
        <v>361</v>
      </c>
      <c r="B362" s="15" t="n">
        <v>46311</v>
      </c>
      <c r="C362" s="4" t="s">
        <v>29</v>
      </c>
      <c r="D362" s="4" t="s">
        <v>131</v>
      </c>
      <c r="E362" s="17" t="s">
        <v>132</v>
      </c>
      <c r="F362" s="4" t="s">
        <v>121</v>
      </c>
      <c r="G362" s="11" t="n">
        <v>20</v>
      </c>
      <c r="H362" s="4" t="s">
        <v>139</v>
      </c>
      <c r="I362" s="11" t="n">
        <v>15</v>
      </c>
      <c r="J362" s="11" t="n">
        <f aca="false">IF(AND(ISNUMBER(G362),ISNUMBER(I362)),I362-G362,"")</f>
        <v>-5</v>
      </c>
      <c r="K362" s="10" t="n">
        <f aca="false">IF(H362="Done",1,IF(H362="Partial",0.5,IF(H362="Planned","",0)))</f>
        <v>0.5</v>
      </c>
      <c r="L362" s="17"/>
      <c r="M362" s="17"/>
      <c r="N362" s="17" t="s">
        <v>133</v>
      </c>
    </row>
    <row r="363" customFormat="false" ht="15" hidden="false" customHeight="false" outlineLevel="0" collapsed="false">
      <c r="A363" s="4" t="n">
        <v>362</v>
      </c>
      <c r="B363" s="15" t="n">
        <v>46311</v>
      </c>
      <c r="C363" s="4" t="s">
        <v>35</v>
      </c>
      <c r="D363" s="4" t="s">
        <v>148</v>
      </c>
      <c r="E363" s="17" t="s">
        <v>149</v>
      </c>
      <c r="F363" s="4" t="s">
        <v>130</v>
      </c>
      <c r="G363" s="11" t="n">
        <v>30</v>
      </c>
      <c r="H363" s="4" t="s">
        <v>126</v>
      </c>
      <c r="I363" s="11"/>
      <c r="J363" s="11" t="str">
        <f aca="false">IF(AND(ISNUMBER(G363),ISNUMBER(I363)),I363-G363,"")</f>
        <v/>
      </c>
      <c r="K363" s="10" t="n">
        <f aca="false">IF(H363="Done",1,IF(H363="Partial",0.5,IF(H363="Planned","",0)))</f>
        <v>0</v>
      </c>
      <c r="L363" s="17"/>
      <c r="M363" s="17" t="s">
        <v>142</v>
      </c>
      <c r="N363" s="17"/>
    </row>
    <row r="364" customFormat="false" ht="15" hidden="false" customHeight="false" outlineLevel="0" collapsed="false">
      <c r="A364" s="4" t="n">
        <v>363</v>
      </c>
      <c r="B364" s="15" t="n">
        <v>46311</v>
      </c>
      <c r="C364" s="4" t="s">
        <v>31</v>
      </c>
      <c r="D364" s="4" t="s">
        <v>159</v>
      </c>
      <c r="E364" s="17" t="s">
        <v>160</v>
      </c>
      <c r="F364" s="4" t="s">
        <v>130</v>
      </c>
      <c r="G364" s="11" t="n">
        <v>60</v>
      </c>
      <c r="H364" s="4" t="s">
        <v>55</v>
      </c>
      <c r="I364" s="11" t="n">
        <v>61</v>
      </c>
      <c r="J364" s="11" t="n">
        <f aca="false">IF(AND(ISNUMBER(G364),ISNUMBER(I364)),I364-G364,"")</f>
        <v>1</v>
      </c>
      <c r="K364" s="10" t="n">
        <f aca="false">IF(H364="Done",1,IF(H364="Partial",0.5,IF(H364="Planned","",0)))</f>
        <v>1</v>
      </c>
      <c r="L364" s="17" t="s">
        <v>138</v>
      </c>
      <c r="M364" s="17"/>
      <c r="N364" s="17"/>
    </row>
    <row r="365" customFormat="false" ht="23.85" hidden="false" customHeight="false" outlineLevel="0" collapsed="false">
      <c r="A365" s="4" t="n">
        <v>364</v>
      </c>
      <c r="B365" s="15" t="n">
        <v>46311</v>
      </c>
      <c r="C365" s="4" t="s">
        <v>31</v>
      </c>
      <c r="D365" s="4" t="s">
        <v>119</v>
      </c>
      <c r="E365" s="17" t="s">
        <v>120</v>
      </c>
      <c r="F365" s="4" t="s">
        <v>118</v>
      </c>
      <c r="G365" s="11" t="n">
        <v>60</v>
      </c>
      <c r="H365" s="4" t="s">
        <v>154</v>
      </c>
      <c r="I365" s="11"/>
      <c r="J365" s="11" t="str">
        <f aca="false">IF(AND(ISNUMBER(G365),ISNUMBER(I365)),I365-G365,"")</f>
        <v/>
      </c>
      <c r="K365" s="10" t="n">
        <f aca="false">IF(H365="Done",1,IF(H365="Partial",0.5,IF(H365="Planned","",0)))</f>
        <v>0</v>
      </c>
      <c r="L365" s="17"/>
      <c r="M365" s="17" t="s">
        <v>127</v>
      </c>
      <c r="N365" s="17" t="s">
        <v>123</v>
      </c>
    </row>
  </sheetData>
  <autoFilter ref="A1:N3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36"/>
    <col collapsed="false" customWidth="true" hidden="false" outlineLevel="0" max="10" min="10" style="0" width="9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9" t="s">
        <v>104</v>
      </c>
      <c r="B1" s="9" t="s">
        <v>51</v>
      </c>
      <c r="C1" s="9" t="s">
        <v>25</v>
      </c>
      <c r="D1" s="9" t="s">
        <v>105</v>
      </c>
      <c r="E1" s="9" t="s">
        <v>165</v>
      </c>
      <c r="F1" s="9" t="s">
        <v>166</v>
      </c>
      <c r="G1" s="9" t="s">
        <v>90</v>
      </c>
      <c r="H1" s="9" t="s">
        <v>91</v>
      </c>
      <c r="I1" s="9" t="s">
        <v>113</v>
      </c>
      <c r="J1" s="9" t="s">
        <v>161</v>
      </c>
      <c r="K1" s="9" t="s">
        <v>167</v>
      </c>
    </row>
    <row r="2" customFormat="false" ht="15" hidden="false" customHeight="false" outlineLevel="0" collapsed="false">
      <c r="A2" s="4" t="n">
        <v>1</v>
      </c>
      <c r="B2" s="15" t="n">
        <v>46222</v>
      </c>
      <c r="C2" s="4" t="s">
        <v>29</v>
      </c>
      <c r="D2" s="4" t="s">
        <v>116</v>
      </c>
      <c r="E2" s="17" t="s">
        <v>117</v>
      </c>
      <c r="F2" s="11" t="n">
        <v>21</v>
      </c>
      <c r="G2" s="4"/>
      <c r="H2" s="4"/>
      <c r="I2" s="17"/>
      <c r="J2" s="4" t="s">
        <v>78</v>
      </c>
      <c r="K2" s="4"/>
    </row>
    <row r="3" customFormat="false" ht="15" hidden="false" customHeight="false" outlineLevel="0" collapsed="false">
      <c r="A3" s="4" t="n">
        <v>2</v>
      </c>
      <c r="B3" s="15" t="n">
        <v>46222</v>
      </c>
      <c r="C3" s="4" t="s">
        <v>31</v>
      </c>
      <c r="D3" s="4" t="s">
        <v>119</v>
      </c>
      <c r="E3" s="17" t="s">
        <v>120</v>
      </c>
      <c r="F3" s="11" t="n">
        <v>106</v>
      </c>
      <c r="G3" s="4"/>
      <c r="H3" s="4"/>
      <c r="I3" s="17" t="s">
        <v>122</v>
      </c>
      <c r="J3" s="4" t="s">
        <v>78</v>
      </c>
      <c r="K3" s="4" t="s">
        <v>119</v>
      </c>
    </row>
    <row r="4" customFormat="false" ht="15" hidden="false" customHeight="false" outlineLevel="0" collapsed="false">
      <c r="A4" s="4" t="n">
        <v>3</v>
      </c>
      <c r="B4" s="15" t="n">
        <v>46222</v>
      </c>
      <c r="C4" s="4" t="s">
        <v>35</v>
      </c>
      <c r="D4" s="4" t="s">
        <v>168</v>
      </c>
      <c r="E4" s="17" t="s">
        <v>169</v>
      </c>
      <c r="F4" s="11" t="n">
        <v>90</v>
      </c>
      <c r="G4" s="4"/>
      <c r="H4" s="4"/>
      <c r="I4" s="17"/>
      <c r="J4" s="4" t="s">
        <v>81</v>
      </c>
      <c r="K4" s="4"/>
    </row>
    <row r="5" customFormat="false" ht="15" hidden="false" customHeight="false" outlineLevel="0" collapsed="false">
      <c r="A5" s="4" t="n">
        <v>4</v>
      </c>
      <c r="B5" s="15" t="n">
        <v>46223</v>
      </c>
      <c r="C5" s="4" t="s">
        <v>30</v>
      </c>
      <c r="D5" s="4" t="s">
        <v>128</v>
      </c>
      <c r="E5" s="17" t="s">
        <v>129</v>
      </c>
      <c r="F5" s="11" t="n">
        <v>41</v>
      </c>
      <c r="G5" s="4"/>
      <c r="H5" s="4"/>
      <c r="I5" s="17"/>
      <c r="J5" s="4" t="s">
        <v>78</v>
      </c>
      <c r="K5" s="4"/>
    </row>
    <row r="6" customFormat="false" ht="15" hidden="false" customHeight="false" outlineLevel="0" collapsed="false">
      <c r="A6" s="4" t="n">
        <v>5</v>
      </c>
      <c r="B6" s="15" t="n">
        <v>46224</v>
      </c>
      <c r="C6" s="4" t="s">
        <v>29</v>
      </c>
      <c r="D6" s="4" t="s">
        <v>131</v>
      </c>
      <c r="E6" s="17" t="s">
        <v>132</v>
      </c>
      <c r="F6" s="11" t="n">
        <v>16</v>
      </c>
      <c r="G6" s="4"/>
      <c r="H6" s="4"/>
      <c r="I6" s="17"/>
      <c r="J6" s="4" t="s">
        <v>78</v>
      </c>
      <c r="K6" s="4"/>
    </row>
    <row r="7" customFormat="false" ht="15" hidden="false" customHeight="false" outlineLevel="0" collapsed="false">
      <c r="A7" s="4" t="n">
        <v>6</v>
      </c>
      <c r="B7" s="15" t="n">
        <v>46224</v>
      </c>
      <c r="C7" s="4" t="s">
        <v>31</v>
      </c>
      <c r="D7" s="4" t="s">
        <v>119</v>
      </c>
      <c r="E7" s="17" t="s">
        <v>120</v>
      </c>
      <c r="F7" s="11" t="n">
        <v>79</v>
      </c>
      <c r="G7" s="4"/>
      <c r="H7" s="4"/>
      <c r="I7" s="17"/>
      <c r="J7" s="4" t="s">
        <v>78</v>
      </c>
      <c r="K7" s="4" t="s">
        <v>119</v>
      </c>
    </row>
    <row r="8" customFormat="false" ht="15" hidden="false" customHeight="false" outlineLevel="0" collapsed="false">
      <c r="A8" s="4" t="n">
        <v>7</v>
      </c>
      <c r="B8" s="15" t="n">
        <v>46224</v>
      </c>
      <c r="C8" s="4" t="s">
        <v>31</v>
      </c>
      <c r="D8" s="4" t="s">
        <v>134</v>
      </c>
      <c r="E8" s="17" t="s">
        <v>135</v>
      </c>
      <c r="F8" s="11" t="n">
        <v>43</v>
      </c>
      <c r="G8" s="4"/>
      <c r="H8" s="4"/>
      <c r="I8" s="17"/>
      <c r="J8" s="4" t="s">
        <v>78</v>
      </c>
      <c r="K8" s="4"/>
    </row>
    <row r="9" customFormat="false" ht="15" hidden="false" customHeight="false" outlineLevel="0" collapsed="false">
      <c r="A9" s="4" t="n">
        <v>8</v>
      </c>
      <c r="B9" s="15" t="n">
        <v>46224</v>
      </c>
      <c r="C9" s="4" t="s">
        <v>31</v>
      </c>
      <c r="D9" s="4" t="s">
        <v>136</v>
      </c>
      <c r="E9" s="17" t="s">
        <v>137</v>
      </c>
      <c r="F9" s="11" t="n">
        <v>146</v>
      </c>
      <c r="G9" s="4"/>
      <c r="H9" s="4"/>
      <c r="I9" s="17" t="s">
        <v>138</v>
      </c>
      <c r="J9" s="4" t="s">
        <v>78</v>
      </c>
      <c r="K9" s="4" t="s">
        <v>136</v>
      </c>
    </row>
    <row r="10" customFormat="false" ht="15" hidden="false" customHeight="false" outlineLevel="0" collapsed="false">
      <c r="A10" s="4" t="n">
        <v>9</v>
      </c>
      <c r="B10" s="15" t="n">
        <v>46225</v>
      </c>
      <c r="C10" s="4" t="s">
        <v>34</v>
      </c>
      <c r="D10" s="4" t="s">
        <v>124</v>
      </c>
      <c r="E10" s="17" t="s">
        <v>125</v>
      </c>
      <c r="F10" s="11" t="n">
        <v>17</v>
      </c>
      <c r="G10" s="4"/>
      <c r="H10" s="4"/>
      <c r="I10" s="17"/>
      <c r="J10" s="4" t="s">
        <v>78</v>
      </c>
      <c r="K10" s="4"/>
    </row>
    <row r="11" customFormat="false" ht="15" hidden="false" customHeight="false" outlineLevel="0" collapsed="false">
      <c r="A11" s="4" t="n">
        <v>10</v>
      </c>
      <c r="B11" s="15" t="n">
        <v>46225</v>
      </c>
      <c r="C11" s="4" t="s">
        <v>32</v>
      </c>
      <c r="D11" s="4" t="s">
        <v>144</v>
      </c>
      <c r="E11" s="17" t="s">
        <v>145</v>
      </c>
      <c r="F11" s="11" t="n">
        <v>37</v>
      </c>
      <c r="G11" s="4"/>
      <c r="H11" s="4"/>
      <c r="I11" s="17"/>
      <c r="J11" s="4" t="s">
        <v>78</v>
      </c>
      <c r="K11" s="4"/>
    </row>
    <row r="12" customFormat="false" ht="15" hidden="false" customHeight="false" outlineLevel="0" collapsed="false">
      <c r="A12" s="4" t="n">
        <v>11</v>
      </c>
      <c r="B12" s="15" t="n">
        <v>46226</v>
      </c>
      <c r="C12" s="4" t="s">
        <v>29</v>
      </c>
      <c r="D12" s="4" t="s">
        <v>116</v>
      </c>
      <c r="E12" s="17" t="s">
        <v>117</v>
      </c>
      <c r="F12" s="11" t="n">
        <v>12</v>
      </c>
      <c r="G12" s="4"/>
      <c r="H12" s="4"/>
      <c r="I12" s="17"/>
      <c r="J12" s="4" t="s">
        <v>78</v>
      </c>
      <c r="K12" s="4"/>
    </row>
    <row r="13" customFormat="false" ht="15" hidden="false" customHeight="false" outlineLevel="0" collapsed="false">
      <c r="A13" s="4" t="n">
        <v>12</v>
      </c>
      <c r="B13" s="15" t="n">
        <v>46226</v>
      </c>
      <c r="C13" s="4" t="s">
        <v>29</v>
      </c>
      <c r="D13" s="4" t="s">
        <v>131</v>
      </c>
      <c r="E13" s="17" t="s">
        <v>132</v>
      </c>
      <c r="F13" s="11" t="n">
        <v>25</v>
      </c>
      <c r="G13" s="4"/>
      <c r="H13" s="4"/>
      <c r="I13" s="17"/>
      <c r="J13" s="4" t="s">
        <v>78</v>
      </c>
      <c r="K13" s="4"/>
    </row>
    <row r="14" customFormat="false" ht="15" hidden="false" customHeight="false" outlineLevel="0" collapsed="false">
      <c r="A14" s="4" t="n">
        <v>13</v>
      </c>
      <c r="B14" s="15" t="n">
        <v>46226</v>
      </c>
      <c r="C14" s="4" t="s">
        <v>35</v>
      </c>
      <c r="D14" s="4" t="s">
        <v>168</v>
      </c>
      <c r="E14" s="17" t="s">
        <v>169</v>
      </c>
      <c r="F14" s="11" t="n">
        <v>90</v>
      </c>
      <c r="G14" s="4"/>
      <c r="H14" s="4"/>
      <c r="I14" s="17"/>
      <c r="J14" s="4" t="s">
        <v>81</v>
      </c>
      <c r="K14" s="4"/>
    </row>
    <row r="15" customFormat="false" ht="15" hidden="false" customHeight="false" outlineLevel="0" collapsed="false">
      <c r="A15" s="4" t="n">
        <v>14</v>
      </c>
      <c r="B15" s="15" t="n">
        <v>46227</v>
      </c>
      <c r="C15" s="4" t="s">
        <v>30</v>
      </c>
      <c r="D15" s="4" t="s">
        <v>128</v>
      </c>
      <c r="E15" s="17" t="s">
        <v>129</v>
      </c>
      <c r="F15" s="11" t="n">
        <v>46</v>
      </c>
      <c r="G15" s="4"/>
      <c r="H15" s="4"/>
      <c r="I15" s="17"/>
      <c r="J15" s="4" t="s">
        <v>78</v>
      </c>
      <c r="K15" s="4"/>
    </row>
    <row r="16" customFormat="false" ht="15" hidden="false" customHeight="false" outlineLevel="0" collapsed="false">
      <c r="A16" s="4" t="n">
        <v>15</v>
      </c>
      <c r="B16" s="15" t="n">
        <v>46227</v>
      </c>
      <c r="C16" s="4" t="s">
        <v>30</v>
      </c>
      <c r="D16" s="4" t="s">
        <v>156</v>
      </c>
      <c r="E16" s="17" t="s">
        <v>157</v>
      </c>
      <c r="F16" s="11" t="n">
        <v>31</v>
      </c>
      <c r="G16" s="4"/>
      <c r="H16" s="4"/>
      <c r="I16" s="17"/>
      <c r="J16" s="4" t="s">
        <v>78</v>
      </c>
      <c r="K16" s="4"/>
    </row>
    <row r="17" customFormat="false" ht="15" hidden="false" customHeight="false" outlineLevel="0" collapsed="false">
      <c r="A17" s="4" t="n">
        <v>16</v>
      </c>
      <c r="B17" s="15" t="n">
        <v>46227</v>
      </c>
      <c r="C17" s="4" t="s">
        <v>31</v>
      </c>
      <c r="D17" s="4" t="s">
        <v>134</v>
      </c>
      <c r="E17" s="17" t="s">
        <v>135</v>
      </c>
      <c r="F17" s="11" t="n">
        <v>57</v>
      </c>
      <c r="G17" s="4"/>
      <c r="H17" s="4"/>
      <c r="I17" s="17"/>
      <c r="J17" s="4" t="s">
        <v>78</v>
      </c>
      <c r="K17" s="4"/>
    </row>
    <row r="18" customFormat="false" ht="15" hidden="false" customHeight="false" outlineLevel="0" collapsed="false">
      <c r="A18" s="4" t="n">
        <v>17</v>
      </c>
      <c r="B18" s="15" t="n">
        <v>46227</v>
      </c>
      <c r="C18" s="4" t="s">
        <v>31</v>
      </c>
      <c r="D18" s="4" t="s">
        <v>119</v>
      </c>
      <c r="E18" s="17" t="s">
        <v>120</v>
      </c>
      <c r="F18" s="11" t="n">
        <v>42</v>
      </c>
      <c r="G18" s="4"/>
      <c r="H18" s="4"/>
      <c r="I18" s="17"/>
      <c r="J18" s="4" t="s">
        <v>78</v>
      </c>
      <c r="K18" s="4" t="s">
        <v>119</v>
      </c>
    </row>
    <row r="19" customFormat="false" ht="15" hidden="false" customHeight="false" outlineLevel="0" collapsed="false">
      <c r="A19" s="4" t="n">
        <v>18</v>
      </c>
      <c r="B19" s="15" t="n">
        <v>46227</v>
      </c>
      <c r="C19" s="4" t="s">
        <v>35</v>
      </c>
      <c r="D19" s="4" t="s">
        <v>168</v>
      </c>
      <c r="E19" s="17" t="s">
        <v>169</v>
      </c>
      <c r="F19" s="11" t="n">
        <v>60</v>
      </c>
      <c r="G19" s="4"/>
      <c r="H19" s="4"/>
      <c r="I19" s="17"/>
      <c r="J19" s="4" t="s">
        <v>81</v>
      </c>
      <c r="K19" s="4"/>
    </row>
    <row r="20" customFormat="false" ht="15" hidden="false" customHeight="false" outlineLevel="0" collapsed="false">
      <c r="A20" s="4" t="n">
        <v>19</v>
      </c>
      <c r="B20" s="15" t="n">
        <v>46228</v>
      </c>
      <c r="C20" s="4" t="s">
        <v>33</v>
      </c>
      <c r="D20" s="4" t="s">
        <v>151</v>
      </c>
      <c r="E20" s="17" t="s">
        <v>152</v>
      </c>
      <c r="F20" s="11" t="n">
        <v>39</v>
      </c>
      <c r="G20" s="4"/>
      <c r="H20" s="4"/>
      <c r="I20" s="17"/>
      <c r="J20" s="4" t="s">
        <v>78</v>
      </c>
      <c r="K20" s="4"/>
    </row>
    <row r="21" customFormat="false" ht="15" hidden="false" customHeight="false" outlineLevel="0" collapsed="false">
      <c r="A21" s="4" t="n">
        <v>20</v>
      </c>
      <c r="B21" s="15" t="n">
        <v>46228</v>
      </c>
      <c r="C21" s="4" t="s">
        <v>34</v>
      </c>
      <c r="D21" s="4" t="s">
        <v>124</v>
      </c>
      <c r="E21" s="17" t="s">
        <v>125</v>
      </c>
      <c r="F21" s="11" t="n">
        <v>20</v>
      </c>
      <c r="G21" s="4"/>
      <c r="H21" s="4"/>
      <c r="I21" s="17"/>
      <c r="J21" s="4" t="s">
        <v>78</v>
      </c>
      <c r="K21" s="4"/>
    </row>
    <row r="22" customFormat="false" ht="15" hidden="false" customHeight="false" outlineLevel="0" collapsed="false">
      <c r="A22" s="4" t="n">
        <v>21</v>
      </c>
      <c r="B22" s="15" t="n">
        <v>46228</v>
      </c>
      <c r="C22" s="4" t="s">
        <v>32</v>
      </c>
      <c r="D22" s="4" t="s">
        <v>140</v>
      </c>
      <c r="E22" s="17" t="s">
        <v>141</v>
      </c>
      <c r="F22" s="11" t="n">
        <v>71</v>
      </c>
      <c r="G22" s="4"/>
      <c r="H22" s="4"/>
      <c r="I22" s="17"/>
      <c r="J22" s="4" t="s">
        <v>78</v>
      </c>
      <c r="K22" s="4"/>
    </row>
    <row r="23" customFormat="false" ht="15" hidden="false" customHeight="false" outlineLevel="0" collapsed="false">
      <c r="A23" s="4" t="n">
        <v>22</v>
      </c>
      <c r="B23" s="15" t="n">
        <v>46228</v>
      </c>
      <c r="C23" s="4" t="s">
        <v>31</v>
      </c>
      <c r="D23" s="4" t="s">
        <v>119</v>
      </c>
      <c r="E23" s="17" t="s">
        <v>120</v>
      </c>
      <c r="F23" s="11" t="n">
        <v>43</v>
      </c>
      <c r="G23" s="4"/>
      <c r="H23" s="4"/>
      <c r="I23" s="17"/>
      <c r="J23" s="4" t="s">
        <v>78</v>
      </c>
      <c r="K23" s="4" t="s">
        <v>119</v>
      </c>
    </row>
    <row r="24" customFormat="false" ht="15" hidden="false" customHeight="false" outlineLevel="0" collapsed="false">
      <c r="A24" s="4" t="n">
        <v>23</v>
      </c>
      <c r="B24" s="15" t="n">
        <v>46231</v>
      </c>
      <c r="C24" s="4" t="s">
        <v>31</v>
      </c>
      <c r="D24" s="4" t="s">
        <v>159</v>
      </c>
      <c r="E24" s="17" t="s">
        <v>160</v>
      </c>
      <c r="F24" s="11" t="n">
        <v>49</v>
      </c>
      <c r="G24" s="4"/>
      <c r="H24" s="4"/>
      <c r="I24" s="17" t="s">
        <v>138</v>
      </c>
      <c r="J24" s="4" t="s">
        <v>78</v>
      </c>
      <c r="K24" s="4" t="s">
        <v>170</v>
      </c>
    </row>
    <row r="25" customFormat="false" ht="15" hidden="false" customHeight="false" outlineLevel="0" collapsed="false">
      <c r="A25" s="4" t="n">
        <v>24</v>
      </c>
      <c r="B25" s="15" t="n">
        <v>46231</v>
      </c>
      <c r="C25" s="4" t="s">
        <v>31</v>
      </c>
      <c r="D25" s="4" t="s">
        <v>119</v>
      </c>
      <c r="E25" s="17" t="s">
        <v>120</v>
      </c>
      <c r="F25" s="11" t="n">
        <v>75</v>
      </c>
      <c r="G25" s="4"/>
      <c r="H25" s="4"/>
      <c r="I25" s="17" t="s">
        <v>138</v>
      </c>
      <c r="J25" s="4" t="s">
        <v>78</v>
      </c>
      <c r="K25" s="4" t="s">
        <v>119</v>
      </c>
    </row>
    <row r="26" customFormat="false" ht="15" hidden="false" customHeight="false" outlineLevel="0" collapsed="false">
      <c r="A26" s="4" t="n">
        <v>25</v>
      </c>
      <c r="B26" s="15" t="n">
        <v>46231</v>
      </c>
      <c r="C26" s="4" t="s">
        <v>35</v>
      </c>
      <c r="D26" s="4" t="s">
        <v>168</v>
      </c>
      <c r="E26" s="17" t="s">
        <v>169</v>
      </c>
      <c r="F26" s="11" t="n">
        <v>90</v>
      </c>
      <c r="G26" s="4"/>
      <c r="H26" s="4"/>
      <c r="I26" s="17"/>
      <c r="J26" s="4" t="s">
        <v>81</v>
      </c>
      <c r="K26" s="4"/>
    </row>
    <row r="27" customFormat="false" ht="15" hidden="false" customHeight="false" outlineLevel="0" collapsed="false">
      <c r="A27" s="4" t="n">
        <v>26</v>
      </c>
      <c r="B27" s="15" t="n">
        <v>46233</v>
      </c>
      <c r="C27" s="4" t="s">
        <v>31</v>
      </c>
      <c r="D27" s="4" t="s">
        <v>159</v>
      </c>
      <c r="E27" s="17" t="s">
        <v>160</v>
      </c>
      <c r="F27" s="11" t="n">
        <v>30</v>
      </c>
      <c r="G27" s="4"/>
      <c r="H27" s="4"/>
      <c r="I27" s="17"/>
      <c r="J27" s="4" t="s">
        <v>78</v>
      </c>
      <c r="K27" s="4" t="s">
        <v>170</v>
      </c>
    </row>
    <row r="28" customFormat="false" ht="15" hidden="false" customHeight="false" outlineLevel="0" collapsed="false">
      <c r="A28" s="4" t="n">
        <v>27</v>
      </c>
      <c r="B28" s="15" t="n">
        <v>46233</v>
      </c>
      <c r="C28" s="4" t="s">
        <v>31</v>
      </c>
      <c r="D28" s="4" t="s">
        <v>119</v>
      </c>
      <c r="E28" s="17" t="s">
        <v>120</v>
      </c>
      <c r="F28" s="11" t="n">
        <v>69</v>
      </c>
      <c r="G28" s="4"/>
      <c r="H28" s="4"/>
      <c r="I28" s="17"/>
      <c r="J28" s="4" t="s">
        <v>78</v>
      </c>
      <c r="K28" s="4" t="s">
        <v>119</v>
      </c>
    </row>
    <row r="29" customFormat="false" ht="15" hidden="false" customHeight="false" outlineLevel="0" collapsed="false">
      <c r="A29" s="4" t="n">
        <v>30</v>
      </c>
      <c r="B29" s="15" t="n">
        <v>46235</v>
      </c>
      <c r="C29" s="4" t="s">
        <v>30</v>
      </c>
      <c r="D29" s="4" t="s">
        <v>156</v>
      </c>
      <c r="E29" s="17" t="s">
        <v>157</v>
      </c>
      <c r="F29" s="11" t="n">
        <v>34</v>
      </c>
      <c r="G29" s="4"/>
      <c r="H29" s="4"/>
      <c r="I29" s="17"/>
      <c r="J29" s="4" t="s">
        <v>78</v>
      </c>
      <c r="K29" s="4"/>
    </row>
    <row r="30" customFormat="false" ht="15" hidden="false" customHeight="false" outlineLevel="0" collapsed="false">
      <c r="A30" s="4" t="n">
        <v>31</v>
      </c>
      <c r="B30" s="15" t="n">
        <v>46235</v>
      </c>
      <c r="C30" s="4" t="s">
        <v>29</v>
      </c>
      <c r="D30" s="4" t="s">
        <v>131</v>
      </c>
      <c r="E30" s="17" t="s">
        <v>132</v>
      </c>
      <c r="F30" s="11" t="n">
        <v>17</v>
      </c>
      <c r="G30" s="4"/>
      <c r="H30" s="4"/>
      <c r="I30" s="17"/>
      <c r="J30" s="4" t="s">
        <v>78</v>
      </c>
      <c r="K30" s="4"/>
    </row>
    <row r="31" customFormat="false" ht="15" hidden="false" customHeight="false" outlineLevel="0" collapsed="false">
      <c r="A31" s="4" t="n">
        <v>32</v>
      </c>
      <c r="B31" s="15" t="n">
        <v>46237</v>
      </c>
      <c r="C31" s="4" t="s">
        <v>34</v>
      </c>
      <c r="D31" s="4" t="s">
        <v>124</v>
      </c>
      <c r="E31" s="17" t="s">
        <v>125</v>
      </c>
      <c r="F31" s="11" t="n">
        <v>25</v>
      </c>
      <c r="G31" s="4"/>
      <c r="H31" s="4"/>
      <c r="I31" s="17"/>
      <c r="J31" s="4" t="s">
        <v>78</v>
      </c>
      <c r="K31" s="4"/>
    </row>
    <row r="32" customFormat="false" ht="15" hidden="false" customHeight="false" outlineLevel="0" collapsed="false">
      <c r="A32" s="4" t="n">
        <v>33</v>
      </c>
      <c r="B32" s="15" t="n">
        <v>46237</v>
      </c>
      <c r="C32" s="4" t="s">
        <v>29</v>
      </c>
      <c r="D32" s="4" t="s">
        <v>116</v>
      </c>
      <c r="E32" s="17" t="s">
        <v>117</v>
      </c>
      <c r="F32" s="11" t="n">
        <v>24</v>
      </c>
      <c r="G32" s="4"/>
      <c r="H32" s="4"/>
      <c r="I32" s="17"/>
      <c r="J32" s="4" t="s">
        <v>78</v>
      </c>
      <c r="K32" s="4"/>
    </row>
    <row r="33" customFormat="false" ht="15" hidden="false" customHeight="false" outlineLevel="0" collapsed="false">
      <c r="A33" s="4" t="n">
        <v>34</v>
      </c>
      <c r="B33" s="15" t="n">
        <v>46238</v>
      </c>
      <c r="C33" s="4" t="s">
        <v>31</v>
      </c>
      <c r="D33" s="4" t="s">
        <v>136</v>
      </c>
      <c r="E33" s="17" t="s">
        <v>137</v>
      </c>
      <c r="F33" s="11" t="n">
        <v>215</v>
      </c>
      <c r="G33" s="4"/>
      <c r="H33" s="4"/>
      <c r="I33" s="17"/>
      <c r="J33" s="4" t="s">
        <v>78</v>
      </c>
      <c r="K33" s="4" t="s">
        <v>136</v>
      </c>
    </row>
    <row r="34" customFormat="false" ht="15" hidden="false" customHeight="false" outlineLevel="0" collapsed="false">
      <c r="A34" s="4" t="n">
        <v>35</v>
      </c>
      <c r="B34" s="15" t="n">
        <v>46238</v>
      </c>
      <c r="C34" s="4" t="s">
        <v>31</v>
      </c>
      <c r="D34" s="4" t="s">
        <v>119</v>
      </c>
      <c r="E34" s="17" t="s">
        <v>120</v>
      </c>
      <c r="F34" s="11" t="n">
        <v>55</v>
      </c>
      <c r="G34" s="4"/>
      <c r="H34" s="4"/>
      <c r="I34" s="17"/>
      <c r="J34" s="4" t="s">
        <v>78</v>
      </c>
      <c r="K34" s="4" t="s">
        <v>119</v>
      </c>
    </row>
    <row r="35" customFormat="false" ht="15" hidden="false" customHeight="false" outlineLevel="0" collapsed="false">
      <c r="A35" s="4" t="n">
        <v>36</v>
      </c>
      <c r="B35" s="15" t="n">
        <v>46239</v>
      </c>
      <c r="C35" s="4" t="s">
        <v>30</v>
      </c>
      <c r="D35" s="4" t="s">
        <v>128</v>
      </c>
      <c r="E35" s="17" t="s">
        <v>129</v>
      </c>
      <c r="F35" s="11" t="n">
        <v>29</v>
      </c>
      <c r="G35" s="4"/>
      <c r="H35" s="4"/>
      <c r="I35" s="17"/>
      <c r="J35" s="4" t="s">
        <v>78</v>
      </c>
      <c r="K35" s="4"/>
    </row>
    <row r="36" customFormat="false" ht="15" hidden="false" customHeight="false" outlineLevel="0" collapsed="false">
      <c r="A36" s="4" t="n">
        <v>37</v>
      </c>
      <c r="B36" s="15" t="n">
        <v>46239</v>
      </c>
      <c r="C36" s="4" t="s">
        <v>31</v>
      </c>
      <c r="D36" s="4" t="s">
        <v>119</v>
      </c>
      <c r="E36" s="17" t="s">
        <v>120</v>
      </c>
      <c r="F36" s="11" t="n">
        <v>74</v>
      </c>
      <c r="G36" s="4"/>
      <c r="H36" s="4"/>
      <c r="I36" s="17" t="s">
        <v>162</v>
      </c>
      <c r="J36" s="4" t="s">
        <v>78</v>
      </c>
      <c r="K36" s="4" t="s">
        <v>119</v>
      </c>
    </row>
    <row r="37" customFormat="false" ht="15" hidden="false" customHeight="false" outlineLevel="0" collapsed="false">
      <c r="A37" s="4" t="n">
        <v>38</v>
      </c>
      <c r="B37" s="15" t="n">
        <v>46239</v>
      </c>
      <c r="C37" s="4" t="s">
        <v>31</v>
      </c>
      <c r="D37" s="4" t="s">
        <v>136</v>
      </c>
      <c r="E37" s="17" t="s">
        <v>137</v>
      </c>
      <c r="F37" s="11" t="n">
        <v>174</v>
      </c>
      <c r="G37" s="4"/>
      <c r="H37" s="4"/>
      <c r="I37" s="17"/>
      <c r="J37" s="4" t="s">
        <v>78</v>
      </c>
      <c r="K37" s="4" t="s">
        <v>136</v>
      </c>
    </row>
    <row r="38" customFormat="false" ht="15" hidden="false" customHeight="false" outlineLevel="0" collapsed="false">
      <c r="A38" s="4" t="n">
        <v>39</v>
      </c>
      <c r="B38" s="15" t="n">
        <v>46239</v>
      </c>
      <c r="C38" s="4" t="s">
        <v>35</v>
      </c>
      <c r="D38" s="4" t="s">
        <v>168</v>
      </c>
      <c r="E38" s="17" t="s">
        <v>169</v>
      </c>
      <c r="F38" s="11" t="n">
        <v>60</v>
      </c>
      <c r="G38" s="4"/>
      <c r="H38" s="4"/>
      <c r="I38" s="17"/>
      <c r="J38" s="4" t="s">
        <v>81</v>
      </c>
      <c r="K38" s="4"/>
    </row>
    <row r="39" customFormat="false" ht="15" hidden="false" customHeight="false" outlineLevel="0" collapsed="false">
      <c r="A39" s="4" t="n">
        <v>40</v>
      </c>
      <c r="B39" s="15" t="n">
        <v>46240</v>
      </c>
      <c r="C39" s="4" t="s">
        <v>34</v>
      </c>
      <c r="D39" s="4" t="s">
        <v>124</v>
      </c>
      <c r="E39" s="17" t="s">
        <v>125</v>
      </c>
      <c r="F39" s="11" t="n">
        <v>19</v>
      </c>
      <c r="G39" s="4"/>
      <c r="H39" s="4"/>
      <c r="I39" s="17"/>
      <c r="J39" s="4" t="s">
        <v>78</v>
      </c>
      <c r="K39" s="4"/>
    </row>
    <row r="40" customFormat="false" ht="15" hidden="false" customHeight="false" outlineLevel="0" collapsed="false">
      <c r="A40" s="4" t="n">
        <v>41</v>
      </c>
      <c r="B40" s="15" t="n">
        <v>46240</v>
      </c>
      <c r="C40" s="4" t="s">
        <v>30</v>
      </c>
      <c r="D40" s="4" t="s">
        <v>128</v>
      </c>
      <c r="E40" s="17" t="s">
        <v>129</v>
      </c>
      <c r="F40" s="11" t="n">
        <v>26</v>
      </c>
      <c r="G40" s="4"/>
      <c r="H40" s="4"/>
      <c r="I40" s="17"/>
      <c r="J40" s="4" t="s">
        <v>78</v>
      </c>
      <c r="K40" s="4"/>
    </row>
    <row r="41" customFormat="false" ht="15" hidden="false" customHeight="false" outlineLevel="0" collapsed="false">
      <c r="A41" s="4" t="n">
        <v>42</v>
      </c>
      <c r="B41" s="15" t="n">
        <v>46240</v>
      </c>
      <c r="C41" s="4" t="s">
        <v>31</v>
      </c>
      <c r="D41" s="4" t="s">
        <v>136</v>
      </c>
      <c r="E41" s="17" t="s">
        <v>137</v>
      </c>
      <c r="F41" s="11" t="n">
        <v>143</v>
      </c>
      <c r="G41" s="4"/>
      <c r="H41" s="4"/>
      <c r="I41" s="17"/>
      <c r="J41" s="4" t="s">
        <v>78</v>
      </c>
      <c r="K41" s="4" t="s">
        <v>136</v>
      </c>
    </row>
    <row r="42" customFormat="false" ht="15" hidden="false" customHeight="false" outlineLevel="0" collapsed="false">
      <c r="A42" s="4" t="n">
        <v>43</v>
      </c>
      <c r="B42" s="15" t="n">
        <v>46240</v>
      </c>
      <c r="C42" s="4" t="s">
        <v>31</v>
      </c>
      <c r="D42" s="4" t="s">
        <v>119</v>
      </c>
      <c r="E42" s="17" t="s">
        <v>120</v>
      </c>
      <c r="F42" s="11" t="n">
        <v>78</v>
      </c>
      <c r="G42" s="4"/>
      <c r="H42" s="4"/>
      <c r="I42" s="17"/>
      <c r="J42" s="4" t="s">
        <v>78</v>
      </c>
      <c r="K42" s="4" t="s">
        <v>119</v>
      </c>
    </row>
    <row r="43" customFormat="false" ht="15" hidden="false" customHeight="false" outlineLevel="0" collapsed="false">
      <c r="A43" s="4" t="n">
        <v>44</v>
      </c>
      <c r="B43" s="15" t="n">
        <v>46240</v>
      </c>
      <c r="C43" s="4" t="s">
        <v>35</v>
      </c>
      <c r="D43" s="4" t="s">
        <v>168</v>
      </c>
      <c r="E43" s="17" t="s">
        <v>169</v>
      </c>
      <c r="F43" s="11" t="n">
        <v>60</v>
      </c>
      <c r="G43" s="4"/>
      <c r="H43" s="4"/>
      <c r="I43" s="17"/>
      <c r="J43" s="4" t="s">
        <v>81</v>
      </c>
      <c r="K43" s="4"/>
    </row>
    <row r="44" customFormat="false" ht="15" hidden="false" customHeight="false" outlineLevel="0" collapsed="false">
      <c r="A44" s="4" t="n">
        <v>45</v>
      </c>
      <c r="B44" s="15" t="n">
        <v>46241</v>
      </c>
      <c r="C44" s="4" t="s">
        <v>29</v>
      </c>
      <c r="D44" s="4" t="s">
        <v>116</v>
      </c>
      <c r="E44" s="17" t="s">
        <v>117</v>
      </c>
      <c r="F44" s="11" t="n">
        <v>16</v>
      </c>
      <c r="G44" s="4"/>
      <c r="H44" s="4"/>
      <c r="I44" s="17"/>
      <c r="J44" s="4" t="s">
        <v>78</v>
      </c>
      <c r="K44" s="4"/>
    </row>
    <row r="45" customFormat="false" ht="15" hidden="false" customHeight="false" outlineLevel="0" collapsed="false">
      <c r="A45" s="4" t="n">
        <v>46</v>
      </c>
      <c r="B45" s="15" t="n">
        <v>46241</v>
      </c>
      <c r="C45" s="4" t="s">
        <v>30</v>
      </c>
      <c r="D45" s="4" t="s">
        <v>128</v>
      </c>
      <c r="E45" s="17" t="s">
        <v>129</v>
      </c>
      <c r="F45" s="11" t="n">
        <v>30</v>
      </c>
      <c r="G45" s="4"/>
      <c r="H45" s="4"/>
      <c r="I45" s="17"/>
      <c r="J45" s="4" t="s">
        <v>78</v>
      </c>
      <c r="K45" s="4"/>
    </row>
    <row r="46" customFormat="false" ht="15" hidden="false" customHeight="false" outlineLevel="0" collapsed="false">
      <c r="A46" s="4" t="n">
        <v>47</v>
      </c>
      <c r="B46" s="15" t="n">
        <v>46242</v>
      </c>
      <c r="C46" s="4" t="s">
        <v>30</v>
      </c>
      <c r="D46" s="4" t="s">
        <v>128</v>
      </c>
      <c r="E46" s="17" t="s">
        <v>129</v>
      </c>
      <c r="F46" s="11" t="n">
        <v>40</v>
      </c>
      <c r="G46" s="4"/>
      <c r="H46" s="4"/>
      <c r="I46" s="17"/>
      <c r="J46" s="4" t="s">
        <v>78</v>
      </c>
      <c r="K46" s="4"/>
    </row>
    <row r="47" customFormat="false" ht="15" hidden="false" customHeight="false" outlineLevel="0" collapsed="false">
      <c r="A47" s="4" t="n">
        <v>48</v>
      </c>
      <c r="B47" s="15" t="n">
        <v>46242</v>
      </c>
      <c r="C47" s="4" t="s">
        <v>31</v>
      </c>
      <c r="D47" s="4" t="s">
        <v>119</v>
      </c>
      <c r="E47" s="17" t="s">
        <v>120</v>
      </c>
      <c r="F47" s="11" t="n">
        <v>81</v>
      </c>
      <c r="G47" s="4"/>
      <c r="H47" s="4"/>
      <c r="I47" s="17"/>
      <c r="J47" s="4" t="s">
        <v>78</v>
      </c>
      <c r="K47" s="4" t="s">
        <v>119</v>
      </c>
    </row>
    <row r="48" customFormat="false" ht="15" hidden="false" customHeight="false" outlineLevel="0" collapsed="false">
      <c r="A48" s="4" t="n">
        <v>49</v>
      </c>
      <c r="B48" s="15" t="n">
        <v>46242</v>
      </c>
      <c r="C48" s="4" t="s">
        <v>35</v>
      </c>
      <c r="D48" s="4" t="s">
        <v>168</v>
      </c>
      <c r="E48" s="17" t="s">
        <v>169</v>
      </c>
      <c r="F48" s="11" t="n">
        <v>60</v>
      </c>
      <c r="G48" s="4"/>
      <c r="H48" s="4"/>
      <c r="I48" s="17"/>
      <c r="J48" s="4" t="s">
        <v>81</v>
      </c>
      <c r="K48" s="4"/>
    </row>
    <row r="49" customFormat="false" ht="15" hidden="false" customHeight="false" outlineLevel="0" collapsed="false">
      <c r="A49" s="4" t="n">
        <v>50</v>
      </c>
      <c r="B49" s="15" t="n">
        <v>46243</v>
      </c>
      <c r="C49" s="4" t="s">
        <v>33</v>
      </c>
      <c r="D49" s="4" t="s">
        <v>151</v>
      </c>
      <c r="E49" s="17" t="s">
        <v>152</v>
      </c>
      <c r="F49" s="11" t="n">
        <v>35</v>
      </c>
      <c r="G49" s="4"/>
      <c r="H49" s="4"/>
      <c r="I49" s="17"/>
      <c r="J49" s="4" t="s">
        <v>78</v>
      </c>
      <c r="K49" s="4"/>
    </row>
    <row r="50" customFormat="false" ht="15" hidden="false" customHeight="false" outlineLevel="0" collapsed="false">
      <c r="A50" s="4" t="n">
        <v>51</v>
      </c>
      <c r="B50" s="15" t="n">
        <v>46244</v>
      </c>
      <c r="C50" s="4" t="s">
        <v>34</v>
      </c>
      <c r="D50" s="4" t="s">
        <v>124</v>
      </c>
      <c r="E50" s="17" t="s">
        <v>125</v>
      </c>
      <c r="F50" s="11" t="n">
        <v>31</v>
      </c>
      <c r="G50" s="4"/>
      <c r="H50" s="4"/>
      <c r="I50" s="17"/>
      <c r="J50" s="4" t="s">
        <v>78</v>
      </c>
      <c r="K50" s="4"/>
    </row>
    <row r="51" customFormat="false" ht="15" hidden="false" customHeight="false" outlineLevel="0" collapsed="false">
      <c r="A51" s="4" t="n">
        <v>52</v>
      </c>
      <c r="B51" s="15" t="n">
        <v>46244</v>
      </c>
      <c r="C51" s="4" t="s">
        <v>29</v>
      </c>
      <c r="D51" s="4" t="s">
        <v>116</v>
      </c>
      <c r="E51" s="17" t="s">
        <v>117</v>
      </c>
      <c r="F51" s="11" t="n">
        <v>18</v>
      </c>
      <c r="G51" s="4"/>
      <c r="H51" s="4"/>
      <c r="I51" s="17"/>
      <c r="J51" s="4" t="s">
        <v>78</v>
      </c>
      <c r="K51" s="4"/>
    </row>
    <row r="52" customFormat="false" ht="15" hidden="false" customHeight="false" outlineLevel="0" collapsed="false">
      <c r="A52" s="4" t="n">
        <v>53</v>
      </c>
      <c r="B52" s="15" t="n">
        <v>46244</v>
      </c>
      <c r="C52" s="4" t="s">
        <v>31</v>
      </c>
      <c r="D52" s="4" t="s">
        <v>119</v>
      </c>
      <c r="E52" s="17" t="s">
        <v>120</v>
      </c>
      <c r="F52" s="11" t="n">
        <v>51</v>
      </c>
      <c r="G52" s="4"/>
      <c r="H52" s="4"/>
      <c r="I52" s="17"/>
      <c r="J52" s="4" t="s">
        <v>78</v>
      </c>
      <c r="K52" s="4" t="s">
        <v>119</v>
      </c>
    </row>
    <row r="53" customFormat="false" ht="15" hidden="false" customHeight="false" outlineLevel="0" collapsed="false">
      <c r="A53" s="4" t="n">
        <v>54</v>
      </c>
      <c r="B53" s="15" t="n">
        <v>46244</v>
      </c>
      <c r="C53" s="4" t="s">
        <v>31</v>
      </c>
      <c r="D53" s="4" t="s">
        <v>134</v>
      </c>
      <c r="E53" s="17" t="s">
        <v>135</v>
      </c>
      <c r="F53" s="11" t="n">
        <v>59</v>
      </c>
      <c r="G53" s="4"/>
      <c r="H53" s="4"/>
      <c r="I53" s="17"/>
      <c r="J53" s="4" t="s">
        <v>78</v>
      </c>
      <c r="K53" s="4"/>
    </row>
    <row r="54" customFormat="false" ht="15" hidden="false" customHeight="false" outlineLevel="0" collapsed="false">
      <c r="A54" s="4" t="n">
        <v>55</v>
      </c>
      <c r="B54" s="15" t="n">
        <v>46245</v>
      </c>
      <c r="C54" s="4" t="s">
        <v>31</v>
      </c>
      <c r="D54" s="4" t="s">
        <v>119</v>
      </c>
      <c r="E54" s="17" t="s">
        <v>120</v>
      </c>
      <c r="F54" s="11" t="n">
        <v>54</v>
      </c>
      <c r="G54" s="4"/>
      <c r="H54" s="4"/>
      <c r="I54" s="17"/>
      <c r="J54" s="4" t="s">
        <v>78</v>
      </c>
      <c r="K54" s="4" t="s">
        <v>119</v>
      </c>
    </row>
    <row r="55" customFormat="false" ht="15" hidden="false" customHeight="false" outlineLevel="0" collapsed="false">
      <c r="A55" s="4" t="n">
        <v>56</v>
      </c>
      <c r="B55" s="15" t="n">
        <v>46245</v>
      </c>
      <c r="C55" s="4" t="s">
        <v>32</v>
      </c>
      <c r="D55" s="4" t="s">
        <v>144</v>
      </c>
      <c r="E55" s="17" t="s">
        <v>145</v>
      </c>
      <c r="F55" s="11" t="n">
        <v>67</v>
      </c>
      <c r="G55" s="4"/>
      <c r="H55" s="4"/>
      <c r="I55" s="17"/>
      <c r="J55" s="4" t="s">
        <v>78</v>
      </c>
      <c r="K55" s="4"/>
    </row>
    <row r="56" customFormat="false" ht="15" hidden="false" customHeight="false" outlineLevel="0" collapsed="false">
      <c r="A56" s="4" t="n">
        <v>57</v>
      </c>
      <c r="B56" s="15" t="n">
        <v>46246</v>
      </c>
      <c r="C56" s="4" t="s">
        <v>30</v>
      </c>
      <c r="D56" s="4" t="s">
        <v>156</v>
      </c>
      <c r="E56" s="17" t="s">
        <v>157</v>
      </c>
      <c r="F56" s="11" t="n">
        <v>30</v>
      </c>
      <c r="G56" s="4"/>
      <c r="H56" s="4"/>
      <c r="I56" s="17"/>
      <c r="J56" s="4" t="s">
        <v>78</v>
      </c>
      <c r="K56" s="4"/>
    </row>
    <row r="57" customFormat="false" ht="15" hidden="false" customHeight="false" outlineLevel="0" collapsed="false">
      <c r="A57" s="4" t="n">
        <v>58</v>
      </c>
      <c r="B57" s="15" t="n">
        <v>46246</v>
      </c>
      <c r="C57" s="4" t="s">
        <v>35</v>
      </c>
      <c r="D57" s="4" t="s">
        <v>168</v>
      </c>
      <c r="E57" s="17" t="s">
        <v>169</v>
      </c>
      <c r="F57" s="11" t="n">
        <v>60</v>
      </c>
      <c r="G57" s="4"/>
      <c r="H57" s="4"/>
      <c r="I57" s="17"/>
      <c r="J57" s="4" t="s">
        <v>81</v>
      </c>
      <c r="K57" s="4"/>
    </row>
    <row r="58" customFormat="false" ht="15" hidden="false" customHeight="false" outlineLevel="0" collapsed="false">
      <c r="A58" s="4" t="n">
        <v>59</v>
      </c>
      <c r="B58" s="15" t="n">
        <v>46247</v>
      </c>
      <c r="C58" s="4" t="s">
        <v>31</v>
      </c>
      <c r="D58" s="4" t="s">
        <v>134</v>
      </c>
      <c r="E58" s="17" t="s">
        <v>135</v>
      </c>
      <c r="F58" s="11" t="n">
        <v>58</v>
      </c>
      <c r="G58" s="4"/>
      <c r="H58" s="4"/>
      <c r="I58" s="17"/>
      <c r="J58" s="4" t="s">
        <v>78</v>
      </c>
      <c r="K58" s="4"/>
    </row>
    <row r="59" customFormat="false" ht="15" hidden="false" customHeight="false" outlineLevel="0" collapsed="false">
      <c r="A59" s="4" t="n">
        <v>60</v>
      </c>
      <c r="B59" s="15" t="n">
        <v>46247</v>
      </c>
      <c r="C59" s="4" t="s">
        <v>32</v>
      </c>
      <c r="D59" s="4" t="s">
        <v>144</v>
      </c>
      <c r="E59" s="17" t="s">
        <v>145</v>
      </c>
      <c r="F59" s="11" t="n">
        <v>89</v>
      </c>
      <c r="G59" s="4"/>
      <c r="H59" s="4"/>
      <c r="I59" s="17"/>
      <c r="J59" s="4" t="s">
        <v>78</v>
      </c>
      <c r="K59" s="4"/>
    </row>
    <row r="60" customFormat="false" ht="15" hidden="false" customHeight="false" outlineLevel="0" collapsed="false">
      <c r="A60" s="4" t="n">
        <v>61</v>
      </c>
      <c r="B60" s="15" t="n">
        <v>46247</v>
      </c>
      <c r="C60" s="4" t="s">
        <v>30</v>
      </c>
      <c r="D60" s="4" t="s">
        <v>156</v>
      </c>
      <c r="E60" s="17" t="s">
        <v>157</v>
      </c>
      <c r="F60" s="11" t="n">
        <v>25</v>
      </c>
      <c r="G60" s="4"/>
      <c r="H60" s="4"/>
      <c r="I60" s="17"/>
      <c r="J60" s="4" t="s">
        <v>78</v>
      </c>
      <c r="K60" s="4"/>
    </row>
    <row r="61" customFormat="false" ht="15" hidden="false" customHeight="false" outlineLevel="0" collapsed="false">
      <c r="A61" s="4" t="n">
        <v>62</v>
      </c>
      <c r="B61" s="15" t="n">
        <v>46247</v>
      </c>
      <c r="C61" s="4" t="s">
        <v>33</v>
      </c>
      <c r="D61" s="4" t="s">
        <v>151</v>
      </c>
      <c r="E61" s="17" t="s">
        <v>152</v>
      </c>
      <c r="F61" s="11" t="n">
        <v>30</v>
      </c>
      <c r="G61" s="4"/>
      <c r="H61" s="4"/>
      <c r="I61" s="17"/>
      <c r="J61" s="4" t="s">
        <v>78</v>
      </c>
      <c r="K61" s="4"/>
    </row>
    <row r="62" customFormat="false" ht="15" hidden="false" customHeight="false" outlineLevel="0" collapsed="false">
      <c r="A62" s="4" t="n">
        <v>63</v>
      </c>
      <c r="B62" s="15" t="n">
        <v>46247</v>
      </c>
      <c r="C62" s="4" t="s">
        <v>35</v>
      </c>
      <c r="D62" s="4" t="s">
        <v>168</v>
      </c>
      <c r="E62" s="17" t="s">
        <v>169</v>
      </c>
      <c r="F62" s="11" t="n">
        <v>120</v>
      </c>
      <c r="G62" s="4"/>
      <c r="H62" s="4"/>
      <c r="I62" s="17"/>
      <c r="J62" s="4" t="s">
        <v>81</v>
      </c>
      <c r="K62" s="4"/>
    </row>
    <row r="63" customFormat="false" ht="15" hidden="false" customHeight="false" outlineLevel="0" collapsed="false">
      <c r="A63" s="4" t="n">
        <v>64</v>
      </c>
      <c r="B63" s="15" t="n">
        <v>46248</v>
      </c>
      <c r="C63" s="4" t="s">
        <v>32</v>
      </c>
      <c r="D63" s="4" t="s">
        <v>140</v>
      </c>
      <c r="E63" s="17" t="s">
        <v>141</v>
      </c>
      <c r="F63" s="11" t="n">
        <v>66</v>
      </c>
      <c r="G63" s="4"/>
      <c r="H63" s="4"/>
      <c r="I63" s="17"/>
      <c r="J63" s="4" t="s">
        <v>78</v>
      </c>
      <c r="K63" s="4"/>
    </row>
    <row r="64" customFormat="false" ht="15" hidden="false" customHeight="false" outlineLevel="0" collapsed="false">
      <c r="A64" s="4" t="n">
        <v>65</v>
      </c>
      <c r="B64" s="15" t="n">
        <v>46249</v>
      </c>
      <c r="C64" s="4" t="s">
        <v>30</v>
      </c>
      <c r="D64" s="4" t="s">
        <v>128</v>
      </c>
      <c r="E64" s="17" t="s">
        <v>129</v>
      </c>
      <c r="F64" s="11" t="n">
        <v>24</v>
      </c>
      <c r="G64" s="4"/>
      <c r="H64" s="4"/>
      <c r="I64" s="17"/>
      <c r="J64" s="4" t="s">
        <v>78</v>
      </c>
      <c r="K64" s="4"/>
    </row>
    <row r="65" customFormat="false" ht="15" hidden="false" customHeight="false" outlineLevel="0" collapsed="false">
      <c r="A65" s="4" t="n">
        <v>66</v>
      </c>
      <c r="B65" s="15" t="n">
        <v>46249</v>
      </c>
      <c r="C65" s="4" t="s">
        <v>31</v>
      </c>
      <c r="D65" s="4" t="s">
        <v>134</v>
      </c>
      <c r="E65" s="17" t="s">
        <v>135</v>
      </c>
      <c r="F65" s="11" t="n">
        <v>80</v>
      </c>
      <c r="G65" s="4"/>
      <c r="H65" s="4"/>
      <c r="I65" s="17"/>
      <c r="J65" s="4" t="s">
        <v>78</v>
      </c>
      <c r="K65" s="4"/>
    </row>
    <row r="66" customFormat="false" ht="15" hidden="false" customHeight="false" outlineLevel="0" collapsed="false">
      <c r="A66" s="4" t="n">
        <v>67</v>
      </c>
      <c r="B66" s="15" t="n">
        <v>46249</v>
      </c>
      <c r="C66" s="4" t="s">
        <v>34</v>
      </c>
      <c r="D66" s="4" t="s">
        <v>124</v>
      </c>
      <c r="E66" s="17" t="s">
        <v>125</v>
      </c>
      <c r="F66" s="11" t="n">
        <v>24</v>
      </c>
      <c r="G66" s="4"/>
      <c r="H66" s="4"/>
      <c r="I66" s="17"/>
      <c r="J66" s="4" t="s">
        <v>78</v>
      </c>
      <c r="K66" s="4"/>
    </row>
    <row r="67" customFormat="false" ht="15" hidden="false" customHeight="false" outlineLevel="0" collapsed="false">
      <c r="A67" s="4" t="n">
        <v>68</v>
      </c>
      <c r="B67" s="15" t="n">
        <v>46250</v>
      </c>
      <c r="C67" s="4" t="s">
        <v>31</v>
      </c>
      <c r="D67" s="4" t="s">
        <v>119</v>
      </c>
      <c r="E67" s="17" t="s">
        <v>120</v>
      </c>
      <c r="F67" s="11" t="n">
        <v>72</v>
      </c>
      <c r="G67" s="4"/>
      <c r="H67" s="4"/>
      <c r="I67" s="17" t="s">
        <v>164</v>
      </c>
      <c r="J67" s="4" t="s">
        <v>78</v>
      </c>
      <c r="K67" s="4" t="s">
        <v>119</v>
      </c>
    </row>
    <row r="68" customFormat="false" ht="15" hidden="false" customHeight="false" outlineLevel="0" collapsed="false">
      <c r="A68" s="4" t="n">
        <v>69</v>
      </c>
      <c r="B68" s="15" t="n">
        <v>46250</v>
      </c>
      <c r="C68" s="4" t="s">
        <v>33</v>
      </c>
      <c r="D68" s="4" t="s">
        <v>151</v>
      </c>
      <c r="E68" s="17" t="s">
        <v>152</v>
      </c>
      <c r="F68" s="11" t="n">
        <v>24</v>
      </c>
      <c r="G68" s="4"/>
      <c r="H68" s="4"/>
      <c r="I68" s="17"/>
      <c r="J68" s="4" t="s">
        <v>78</v>
      </c>
      <c r="K68" s="4"/>
    </row>
    <row r="69" customFormat="false" ht="15" hidden="false" customHeight="false" outlineLevel="0" collapsed="false">
      <c r="A69" s="4" t="n">
        <v>70</v>
      </c>
      <c r="B69" s="15" t="n">
        <v>46250</v>
      </c>
      <c r="C69" s="4" t="s">
        <v>29</v>
      </c>
      <c r="D69" s="4" t="s">
        <v>131</v>
      </c>
      <c r="E69" s="17" t="s">
        <v>132</v>
      </c>
      <c r="F69" s="11" t="n">
        <v>19</v>
      </c>
      <c r="G69" s="4"/>
      <c r="H69" s="4"/>
      <c r="I69" s="17"/>
      <c r="J69" s="4" t="s">
        <v>78</v>
      </c>
      <c r="K69" s="4"/>
    </row>
    <row r="70" customFormat="false" ht="15" hidden="false" customHeight="false" outlineLevel="0" collapsed="false">
      <c r="A70" s="4" t="n">
        <v>71</v>
      </c>
      <c r="B70" s="15" t="n">
        <v>46250</v>
      </c>
      <c r="C70" s="4" t="s">
        <v>30</v>
      </c>
      <c r="D70" s="4" t="s">
        <v>156</v>
      </c>
      <c r="E70" s="17" t="s">
        <v>157</v>
      </c>
      <c r="F70" s="11" t="n">
        <v>33</v>
      </c>
      <c r="G70" s="4"/>
      <c r="H70" s="4"/>
      <c r="I70" s="17"/>
      <c r="J70" s="4" t="s">
        <v>78</v>
      </c>
      <c r="K70" s="4"/>
    </row>
    <row r="71" customFormat="false" ht="15" hidden="false" customHeight="false" outlineLevel="0" collapsed="false">
      <c r="A71" s="4" t="n">
        <v>72</v>
      </c>
      <c r="B71" s="15" t="n">
        <v>46251</v>
      </c>
      <c r="C71" s="4" t="s">
        <v>30</v>
      </c>
      <c r="D71" s="4" t="s">
        <v>156</v>
      </c>
      <c r="E71" s="17" t="s">
        <v>157</v>
      </c>
      <c r="F71" s="11" t="n">
        <v>40</v>
      </c>
      <c r="G71" s="4"/>
      <c r="H71" s="4"/>
      <c r="I71" s="17"/>
      <c r="J71" s="4" t="s">
        <v>78</v>
      </c>
      <c r="K71" s="4"/>
    </row>
    <row r="72" customFormat="false" ht="15" hidden="false" customHeight="false" outlineLevel="0" collapsed="false">
      <c r="A72" s="4" t="n">
        <v>73</v>
      </c>
      <c r="B72" s="15" t="n">
        <v>46251</v>
      </c>
      <c r="C72" s="4" t="s">
        <v>33</v>
      </c>
      <c r="D72" s="4" t="s">
        <v>151</v>
      </c>
      <c r="E72" s="17" t="s">
        <v>152</v>
      </c>
      <c r="F72" s="11" t="n">
        <v>25</v>
      </c>
      <c r="G72" s="4"/>
      <c r="H72" s="4"/>
      <c r="I72" s="17"/>
      <c r="J72" s="4" t="s">
        <v>78</v>
      </c>
      <c r="K72" s="4"/>
    </row>
    <row r="73" customFormat="false" ht="15" hidden="false" customHeight="false" outlineLevel="0" collapsed="false">
      <c r="A73" s="4" t="n">
        <v>74</v>
      </c>
      <c r="B73" s="15" t="n">
        <v>46252</v>
      </c>
      <c r="C73" s="4" t="s">
        <v>34</v>
      </c>
      <c r="D73" s="4" t="s">
        <v>124</v>
      </c>
      <c r="E73" s="17" t="s">
        <v>125</v>
      </c>
      <c r="F73" s="11" t="n">
        <v>18</v>
      </c>
      <c r="G73" s="4"/>
      <c r="H73" s="4"/>
      <c r="I73" s="17"/>
      <c r="J73" s="4" t="s">
        <v>78</v>
      </c>
      <c r="K73" s="4"/>
    </row>
    <row r="74" customFormat="false" ht="15" hidden="false" customHeight="false" outlineLevel="0" collapsed="false">
      <c r="A74" s="4" t="n">
        <v>75</v>
      </c>
      <c r="B74" s="15" t="n">
        <v>46252</v>
      </c>
      <c r="C74" s="4" t="s">
        <v>31</v>
      </c>
      <c r="D74" s="4" t="s">
        <v>119</v>
      </c>
      <c r="E74" s="17" t="s">
        <v>120</v>
      </c>
      <c r="F74" s="11" t="n">
        <v>70</v>
      </c>
      <c r="G74" s="4"/>
      <c r="H74" s="4"/>
      <c r="I74" s="17" t="s">
        <v>122</v>
      </c>
      <c r="J74" s="4" t="s">
        <v>78</v>
      </c>
      <c r="K74" s="4" t="s">
        <v>119</v>
      </c>
    </row>
    <row r="75" customFormat="false" ht="15" hidden="false" customHeight="false" outlineLevel="0" collapsed="false">
      <c r="A75" s="4" t="n">
        <v>76</v>
      </c>
      <c r="B75" s="15" t="n">
        <v>46253</v>
      </c>
      <c r="C75" s="4" t="s">
        <v>29</v>
      </c>
      <c r="D75" s="4" t="s">
        <v>116</v>
      </c>
      <c r="E75" s="17" t="s">
        <v>117</v>
      </c>
      <c r="F75" s="11" t="n">
        <v>16</v>
      </c>
      <c r="G75" s="4"/>
      <c r="H75" s="4"/>
      <c r="I75" s="17"/>
      <c r="J75" s="4" t="s">
        <v>78</v>
      </c>
      <c r="K75" s="4"/>
    </row>
    <row r="76" customFormat="false" ht="15" hidden="false" customHeight="false" outlineLevel="0" collapsed="false">
      <c r="A76" s="4" t="n">
        <v>77</v>
      </c>
      <c r="B76" s="15" t="n">
        <v>46254</v>
      </c>
      <c r="C76" s="4" t="s">
        <v>29</v>
      </c>
      <c r="D76" s="4" t="s">
        <v>116</v>
      </c>
      <c r="E76" s="17" t="s">
        <v>117</v>
      </c>
      <c r="F76" s="11" t="n">
        <v>17</v>
      </c>
      <c r="G76" s="4"/>
      <c r="H76" s="4"/>
      <c r="I76" s="17"/>
      <c r="J76" s="4" t="s">
        <v>78</v>
      </c>
      <c r="K76" s="4"/>
    </row>
    <row r="77" customFormat="false" ht="15" hidden="false" customHeight="false" outlineLevel="0" collapsed="false">
      <c r="A77" s="4" t="n">
        <v>78</v>
      </c>
      <c r="B77" s="15" t="n">
        <v>46255</v>
      </c>
      <c r="C77" s="4" t="s">
        <v>29</v>
      </c>
      <c r="D77" s="4" t="s">
        <v>131</v>
      </c>
      <c r="E77" s="17" t="s">
        <v>132</v>
      </c>
      <c r="F77" s="11" t="n">
        <v>23</v>
      </c>
      <c r="G77" s="4"/>
      <c r="H77" s="4"/>
      <c r="I77" s="17"/>
      <c r="J77" s="4" t="s">
        <v>78</v>
      </c>
      <c r="K77" s="4"/>
    </row>
    <row r="78" customFormat="false" ht="15" hidden="false" customHeight="false" outlineLevel="0" collapsed="false">
      <c r="A78" s="4" t="n">
        <v>79</v>
      </c>
      <c r="B78" s="15" t="n">
        <v>46255</v>
      </c>
      <c r="C78" s="4" t="s">
        <v>34</v>
      </c>
      <c r="D78" s="4" t="s">
        <v>124</v>
      </c>
      <c r="E78" s="17" t="s">
        <v>125</v>
      </c>
      <c r="F78" s="11" t="n">
        <v>20</v>
      </c>
      <c r="G78" s="4"/>
      <c r="H78" s="4"/>
      <c r="I78" s="17"/>
      <c r="J78" s="4" t="s">
        <v>78</v>
      </c>
      <c r="K78" s="4"/>
    </row>
    <row r="79" customFormat="false" ht="15" hidden="false" customHeight="false" outlineLevel="0" collapsed="false">
      <c r="A79" s="4" t="n">
        <v>80</v>
      </c>
      <c r="B79" s="15" t="n">
        <v>46256</v>
      </c>
      <c r="C79" s="4" t="s">
        <v>31</v>
      </c>
      <c r="D79" s="4" t="s">
        <v>159</v>
      </c>
      <c r="E79" s="17" t="s">
        <v>160</v>
      </c>
      <c r="F79" s="11" t="n">
        <v>36</v>
      </c>
      <c r="G79" s="4"/>
      <c r="H79" s="4"/>
      <c r="I79" s="17" t="s">
        <v>122</v>
      </c>
      <c r="J79" s="4" t="s">
        <v>78</v>
      </c>
      <c r="K79" s="4" t="s">
        <v>170</v>
      </c>
    </row>
    <row r="80" customFormat="false" ht="15" hidden="false" customHeight="false" outlineLevel="0" collapsed="false">
      <c r="A80" s="4" t="n">
        <v>81</v>
      </c>
      <c r="B80" s="15" t="n">
        <v>46256</v>
      </c>
      <c r="C80" s="4" t="s">
        <v>29</v>
      </c>
      <c r="D80" s="4" t="s">
        <v>131</v>
      </c>
      <c r="E80" s="17" t="s">
        <v>132</v>
      </c>
      <c r="F80" s="11" t="n">
        <v>13</v>
      </c>
      <c r="G80" s="4"/>
      <c r="H80" s="4"/>
      <c r="I80" s="17"/>
      <c r="J80" s="4" t="s">
        <v>78</v>
      </c>
      <c r="K80" s="4"/>
    </row>
    <row r="81" customFormat="false" ht="15" hidden="false" customHeight="false" outlineLevel="0" collapsed="false">
      <c r="A81" s="4" t="n">
        <v>82</v>
      </c>
      <c r="B81" s="15" t="n">
        <v>46257</v>
      </c>
      <c r="C81" s="4" t="s">
        <v>31</v>
      </c>
      <c r="D81" s="4" t="s">
        <v>119</v>
      </c>
      <c r="E81" s="17" t="s">
        <v>120</v>
      </c>
      <c r="F81" s="11" t="n">
        <v>84</v>
      </c>
      <c r="G81" s="4"/>
      <c r="H81" s="4"/>
      <c r="I81" s="17"/>
      <c r="J81" s="4" t="s">
        <v>78</v>
      </c>
      <c r="K81" s="4" t="s">
        <v>119</v>
      </c>
    </row>
    <row r="82" customFormat="false" ht="15" hidden="false" customHeight="false" outlineLevel="0" collapsed="false">
      <c r="A82" s="4" t="n">
        <v>83</v>
      </c>
      <c r="B82" s="15" t="n">
        <v>46258</v>
      </c>
      <c r="C82" s="4" t="s">
        <v>29</v>
      </c>
      <c r="D82" s="4" t="s">
        <v>131</v>
      </c>
      <c r="E82" s="17" t="s">
        <v>132</v>
      </c>
      <c r="F82" s="11" t="n">
        <v>23</v>
      </c>
      <c r="G82" s="4"/>
      <c r="H82" s="4"/>
      <c r="I82" s="17"/>
      <c r="J82" s="4" t="s">
        <v>78</v>
      </c>
      <c r="K82" s="4"/>
    </row>
    <row r="83" customFormat="false" ht="15" hidden="false" customHeight="false" outlineLevel="0" collapsed="false">
      <c r="A83" s="4" t="n">
        <v>84</v>
      </c>
      <c r="B83" s="15" t="n">
        <v>46259</v>
      </c>
      <c r="C83" s="4" t="s">
        <v>31</v>
      </c>
      <c r="D83" s="4" t="s">
        <v>136</v>
      </c>
      <c r="E83" s="17" t="s">
        <v>137</v>
      </c>
      <c r="F83" s="11" t="n">
        <v>175</v>
      </c>
      <c r="G83" s="4"/>
      <c r="H83" s="4"/>
      <c r="I83" s="17"/>
      <c r="J83" s="4" t="s">
        <v>78</v>
      </c>
      <c r="K83" s="4" t="s">
        <v>136</v>
      </c>
    </row>
    <row r="84" customFormat="false" ht="15" hidden="false" customHeight="false" outlineLevel="0" collapsed="false">
      <c r="A84" s="4" t="n">
        <v>85</v>
      </c>
      <c r="B84" s="15" t="n">
        <v>46259</v>
      </c>
      <c r="C84" s="4" t="s">
        <v>29</v>
      </c>
      <c r="D84" s="4" t="s">
        <v>116</v>
      </c>
      <c r="E84" s="17" t="s">
        <v>117</v>
      </c>
      <c r="F84" s="11" t="n">
        <v>17</v>
      </c>
      <c r="G84" s="4"/>
      <c r="H84" s="4"/>
      <c r="I84" s="17"/>
      <c r="J84" s="4" t="s">
        <v>78</v>
      </c>
      <c r="K84" s="4"/>
    </row>
    <row r="85" customFormat="false" ht="15" hidden="false" customHeight="false" outlineLevel="0" collapsed="false">
      <c r="A85" s="4" t="n">
        <v>86</v>
      </c>
      <c r="B85" s="15" t="n">
        <v>46259</v>
      </c>
      <c r="C85" s="4" t="s">
        <v>35</v>
      </c>
      <c r="D85" s="4" t="s">
        <v>148</v>
      </c>
      <c r="E85" s="17" t="s">
        <v>149</v>
      </c>
      <c r="F85" s="11" t="n">
        <v>27</v>
      </c>
      <c r="G85" s="4"/>
      <c r="H85" s="4"/>
      <c r="I85" s="17"/>
      <c r="J85" s="4" t="s">
        <v>78</v>
      </c>
      <c r="K85" s="4"/>
    </row>
    <row r="86" customFormat="false" ht="15" hidden="false" customHeight="false" outlineLevel="0" collapsed="false">
      <c r="A86" s="4" t="n">
        <v>87</v>
      </c>
      <c r="B86" s="15" t="n">
        <v>46260</v>
      </c>
      <c r="C86" s="4" t="s">
        <v>29</v>
      </c>
      <c r="D86" s="4" t="s">
        <v>116</v>
      </c>
      <c r="E86" s="17" t="s">
        <v>117</v>
      </c>
      <c r="F86" s="11" t="n">
        <v>16</v>
      </c>
      <c r="G86" s="4"/>
      <c r="H86" s="4"/>
      <c r="I86" s="17"/>
      <c r="J86" s="4" t="s">
        <v>78</v>
      </c>
      <c r="K86" s="4"/>
    </row>
    <row r="87" customFormat="false" ht="15" hidden="false" customHeight="false" outlineLevel="0" collapsed="false">
      <c r="A87" s="4" t="n">
        <v>88</v>
      </c>
      <c r="B87" s="15" t="n">
        <v>46260</v>
      </c>
      <c r="C87" s="4" t="s">
        <v>32</v>
      </c>
      <c r="D87" s="4" t="s">
        <v>140</v>
      </c>
      <c r="E87" s="17" t="s">
        <v>141</v>
      </c>
      <c r="F87" s="11" t="n">
        <v>59</v>
      </c>
      <c r="G87" s="4"/>
      <c r="H87" s="4"/>
      <c r="I87" s="17"/>
      <c r="J87" s="4" t="s">
        <v>78</v>
      </c>
      <c r="K87" s="4"/>
    </row>
    <row r="88" customFormat="false" ht="15" hidden="false" customHeight="false" outlineLevel="0" collapsed="false">
      <c r="A88" s="4" t="n">
        <v>89</v>
      </c>
      <c r="B88" s="15" t="n">
        <v>46261</v>
      </c>
      <c r="C88" s="4" t="s">
        <v>29</v>
      </c>
      <c r="D88" s="4" t="s">
        <v>116</v>
      </c>
      <c r="E88" s="17" t="s">
        <v>117</v>
      </c>
      <c r="F88" s="11" t="n">
        <v>20</v>
      </c>
      <c r="G88" s="4"/>
      <c r="H88" s="4"/>
      <c r="I88" s="17"/>
      <c r="J88" s="4" t="s">
        <v>78</v>
      </c>
      <c r="K88" s="4"/>
    </row>
    <row r="89" customFormat="false" ht="15" hidden="false" customHeight="false" outlineLevel="0" collapsed="false">
      <c r="A89" s="4" t="n">
        <v>90</v>
      </c>
      <c r="B89" s="15" t="n">
        <v>46262</v>
      </c>
      <c r="C89" s="4" t="s">
        <v>34</v>
      </c>
      <c r="D89" s="4" t="s">
        <v>124</v>
      </c>
      <c r="E89" s="17" t="s">
        <v>125</v>
      </c>
      <c r="F89" s="11" t="n">
        <v>22</v>
      </c>
      <c r="G89" s="4"/>
      <c r="H89" s="4"/>
      <c r="I89" s="17"/>
      <c r="J89" s="4" t="s">
        <v>78</v>
      </c>
      <c r="K89" s="4"/>
    </row>
    <row r="90" customFormat="false" ht="15" hidden="false" customHeight="false" outlineLevel="0" collapsed="false">
      <c r="A90" s="4" t="n">
        <v>91</v>
      </c>
      <c r="B90" s="15" t="n">
        <v>46262</v>
      </c>
      <c r="C90" s="4" t="s">
        <v>31</v>
      </c>
      <c r="D90" s="4" t="s">
        <v>119</v>
      </c>
      <c r="E90" s="17" t="s">
        <v>120</v>
      </c>
      <c r="F90" s="11" t="n">
        <v>68</v>
      </c>
      <c r="G90" s="4"/>
      <c r="H90" s="4"/>
      <c r="I90" s="17"/>
      <c r="J90" s="4" t="s">
        <v>78</v>
      </c>
      <c r="K90" s="4" t="s">
        <v>119</v>
      </c>
    </row>
    <row r="91" customFormat="false" ht="15" hidden="false" customHeight="false" outlineLevel="0" collapsed="false">
      <c r="A91" s="4" t="n">
        <v>92</v>
      </c>
      <c r="B91" s="15" t="n">
        <v>46263</v>
      </c>
      <c r="C91" s="4" t="s">
        <v>31</v>
      </c>
      <c r="D91" s="4" t="s">
        <v>119</v>
      </c>
      <c r="E91" s="17" t="s">
        <v>120</v>
      </c>
      <c r="F91" s="11" t="n">
        <v>68</v>
      </c>
      <c r="G91" s="4"/>
      <c r="H91" s="4"/>
      <c r="I91" s="17" t="s">
        <v>162</v>
      </c>
      <c r="J91" s="4" t="s">
        <v>78</v>
      </c>
      <c r="K91" s="4" t="s">
        <v>119</v>
      </c>
    </row>
    <row r="92" customFormat="false" ht="15" hidden="false" customHeight="false" outlineLevel="0" collapsed="false">
      <c r="A92" s="4" t="n">
        <v>93</v>
      </c>
      <c r="B92" s="15" t="n">
        <v>46265</v>
      </c>
      <c r="C92" s="4" t="s">
        <v>29</v>
      </c>
      <c r="D92" s="4" t="s">
        <v>131</v>
      </c>
      <c r="E92" s="17" t="s">
        <v>132</v>
      </c>
      <c r="F92" s="11" t="n">
        <v>20</v>
      </c>
      <c r="G92" s="4"/>
      <c r="H92" s="4"/>
      <c r="I92" s="17"/>
      <c r="J92" s="4" t="s">
        <v>78</v>
      </c>
      <c r="K92" s="4"/>
    </row>
    <row r="93" customFormat="false" ht="15" hidden="false" customHeight="false" outlineLevel="0" collapsed="false">
      <c r="A93" s="4" t="n">
        <v>94</v>
      </c>
      <c r="B93" s="15" t="n">
        <v>46265</v>
      </c>
      <c r="C93" s="4" t="s">
        <v>29</v>
      </c>
      <c r="D93" s="4" t="s">
        <v>116</v>
      </c>
      <c r="E93" s="17" t="s">
        <v>117</v>
      </c>
      <c r="F93" s="11" t="n">
        <v>13</v>
      </c>
      <c r="G93" s="4"/>
      <c r="H93" s="4"/>
      <c r="I93" s="17"/>
      <c r="J93" s="4" t="s">
        <v>78</v>
      </c>
      <c r="K93" s="4"/>
    </row>
    <row r="94" customFormat="false" ht="15" hidden="false" customHeight="false" outlineLevel="0" collapsed="false">
      <c r="A94" s="4" t="n">
        <v>95</v>
      </c>
      <c r="B94" s="15" t="n">
        <v>46265</v>
      </c>
      <c r="C94" s="4" t="s">
        <v>30</v>
      </c>
      <c r="D94" s="4" t="s">
        <v>156</v>
      </c>
      <c r="E94" s="17" t="s">
        <v>157</v>
      </c>
      <c r="F94" s="11" t="n">
        <v>24</v>
      </c>
      <c r="G94" s="4"/>
      <c r="H94" s="4"/>
      <c r="I94" s="17"/>
      <c r="J94" s="4" t="s">
        <v>78</v>
      </c>
      <c r="K94" s="4"/>
    </row>
    <row r="95" customFormat="false" ht="15" hidden="false" customHeight="false" outlineLevel="0" collapsed="false">
      <c r="A95" s="4" t="n">
        <v>96</v>
      </c>
      <c r="B95" s="15" t="n">
        <v>46266</v>
      </c>
      <c r="C95" s="4" t="s">
        <v>33</v>
      </c>
      <c r="D95" s="4" t="s">
        <v>151</v>
      </c>
      <c r="E95" s="17" t="s">
        <v>152</v>
      </c>
      <c r="F95" s="11" t="n">
        <v>21</v>
      </c>
      <c r="G95" s="4"/>
      <c r="H95" s="4"/>
      <c r="I95" s="17"/>
      <c r="J95" s="4" t="s">
        <v>78</v>
      </c>
      <c r="K95" s="4"/>
    </row>
    <row r="96" customFormat="false" ht="15" hidden="false" customHeight="false" outlineLevel="0" collapsed="false">
      <c r="A96" s="4" t="n">
        <v>97</v>
      </c>
      <c r="B96" s="15" t="n">
        <v>46267</v>
      </c>
      <c r="C96" s="4" t="s">
        <v>31</v>
      </c>
      <c r="D96" s="4" t="s">
        <v>119</v>
      </c>
      <c r="E96" s="17" t="s">
        <v>120</v>
      </c>
      <c r="F96" s="11" t="n">
        <v>69</v>
      </c>
      <c r="G96" s="4"/>
      <c r="H96" s="4"/>
      <c r="I96" s="17" t="s">
        <v>122</v>
      </c>
      <c r="J96" s="4" t="s">
        <v>78</v>
      </c>
      <c r="K96" s="4" t="s">
        <v>119</v>
      </c>
    </row>
    <row r="97" customFormat="false" ht="15" hidden="false" customHeight="false" outlineLevel="0" collapsed="false">
      <c r="A97" s="4" t="n">
        <v>98</v>
      </c>
      <c r="B97" s="15" t="n">
        <v>46268</v>
      </c>
      <c r="C97" s="4" t="s">
        <v>33</v>
      </c>
      <c r="D97" s="4" t="s">
        <v>151</v>
      </c>
      <c r="E97" s="17" t="s">
        <v>152</v>
      </c>
      <c r="F97" s="11" t="n">
        <v>30</v>
      </c>
      <c r="G97" s="4"/>
      <c r="H97" s="4"/>
      <c r="I97" s="17"/>
      <c r="J97" s="4" t="s">
        <v>78</v>
      </c>
      <c r="K97" s="4"/>
    </row>
    <row r="98" customFormat="false" ht="15" hidden="false" customHeight="false" outlineLevel="0" collapsed="false">
      <c r="A98" s="4" t="n">
        <v>99</v>
      </c>
      <c r="B98" s="15" t="n">
        <v>46268</v>
      </c>
      <c r="C98" s="4" t="s">
        <v>35</v>
      </c>
      <c r="D98" s="4" t="s">
        <v>168</v>
      </c>
      <c r="E98" s="17" t="s">
        <v>169</v>
      </c>
      <c r="F98" s="11" t="n">
        <v>120</v>
      </c>
      <c r="G98" s="4"/>
      <c r="H98" s="4"/>
      <c r="I98" s="17"/>
      <c r="J98" s="4" t="s">
        <v>81</v>
      </c>
      <c r="K98" s="4"/>
    </row>
    <row r="99" customFormat="false" ht="15" hidden="false" customHeight="false" outlineLevel="0" collapsed="false">
      <c r="A99" s="4" t="n">
        <v>100</v>
      </c>
      <c r="B99" s="15" t="n">
        <v>46269</v>
      </c>
      <c r="C99" s="4" t="s">
        <v>31</v>
      </c>
      <c r="D99" s="4" t="s">
        <v>119</v>
      </c>
      <c r="E99" s="17" t="s">
        <v>120</v>
      </c>
      <c r="F99" s="11" t="n">
        <v>52</v>
      </c>
      <c r="G99" s="4"/>
      <c r="H99" s="4"/>
      <c r="I99" s="17" t="s">
        <v>164</v>
      </c>
      <c r="J99" s="4" t="s">
        <v>78</v>
      </c>
      <c r="K99" s="4" t="s">
        <v>119</v>
      </c>
    </row>
    <row r="100" customFormat="false" ht="15" hidden="false" customHeight="false" outlineLevel="0" collapsed="false">
      <c r="A100" s="4" t="n">
        <v>101</v>
      </c>
      <c r="B100" s="15" t="n">
        <v>46269</v>
      </c>
      <c r="C100" s="4" t="s">
        <v>34</v>
      </c>
      <c r="D100" s="4" t="s">
        <v>124</v>
      </c>
      <c r="E100" s="17" t="s">
        <v>125</v>
      </c>
      <c r="F100" s="11" t="n">
        <v>15</v>
      </c>
      <c r="G100" s="4"/>
      <c r="H100" s="4"/>
      <c r="I100" s="17"/>
      <c r="J100" s="4" t="s">
        <v>78</v>
      </c>
      <c r="K100" s="4"/>
    </row>
    <row r="101" customFormat="false" ht="15" hidden="false" customHeight="false" outlineLevel="0" collapsed="false">
      <c r="A101" s="4" t="n">
        <v>102</v>
      </c>
      <c r="B101" s="15" t="n">
        <v>46269</v>
      </c>
      <c r="C101" s="4" t="s">
        <v>29</v>
      </c>
      <c r="D101" s="4" t="s">
        <v>131</v>
      </c>
      <c r="E101" s="17" t="s">
        <v>132</v>
      </c>
      <c r="F101" s="11" t="n">
        <v>20</v>
      </c>
      <c r="G101" s="4"/>
      <c r="H101" s="4"/>
      <c r="I101" s="17"/>
      <c r="J101" s="4" t="s">
        <v>78</v>
      </c>
      <c r="K101" s="4"/>
    </row>
    <row r="102" customFormat="false" ht="15" hidden="false" customHeight="false" outlineLevel="0" collapsed="false">
      <c r="A102" s="4" t="n">
        <v>103</v>
      </c>
      <c r="B102" s="15" t="n">
        <v>46270</v>
      </c>
      <c r="C102" s="4" t="s">
        <v>31</v>
      </c>
      <c r="D102" s="4" t="s">
        <v>134</v>
      </c>
      <c r="E102" s="17" t="s">
        <v>135</v>
      </c>
      <c r="F102" s="11" t="n">
        <v>52</v>
      </c>
      <c r="G102" s="4"/>
      <c r="H102" s="4"/>
      <c r="I102" s="17"/>
      <c r="J102" s="4" t="s">
        <v>78</v>
      </c>
      <c r="K102" s="4"/>
    </row>
    <row r="103" customFormat="false" ht="15" hidden="false" customHeight="false" outlineLevel="0" collapsed="false">
      <c r="A103" s="4" t="n">
        <v>104</v>
      </c>
      <c r="B103" s="15" t="n">
        <v>46270</v>
      </c>
      <c r="C103" s="4" t="s">
        <v>29</v>
      </c>
      <c r="D103" s="4" t="s">
        <v>116</v>
      </c>
      <c r="E103" s="17" t="s">
        <v>117</v>
      </c>
      <c r="F103" s="11" t="n">
        <v>15</v>
      </c>
      <c r="G103" s="4"/>
      <c r="H103" s="4"/>
      <c r="I103" s="17"/>
      <c r="J103" s="4" t="s">
        <v>78</v>
      </c>
      <c r="K103" s="4"/>
    </row>
    <row r="104" customFormat="false" ht="15" hidden="false" customHeight="false" outlineLevel="0" collapsed="false">
      <c r="A104" s="4" t="n">
        <v>105</v>
      </c>
      <c r="B104" s="15" t="n">
        <v>46270</v>
      </c>
      <c r="C104" s="4" t="s">
        <v>33</v>
      </c>
      <c r="D104" s="4" t="s">
        <v>151</v>
      </c>
      <c r="E104" s="17" t="s">
        <v>152</v>
      </c>
      <c r="F104" s="11" t="n">
        <v>25</v>
      </c>
      <c r="G104" s="4"/>
      <c r="H104" s="4"/>
      <c r="I104" s="17"/>
      <c r="J104" s="4" t="s">
        <v>78</v>
      </c>
      <c r="K104" s="4"/>
    </row>
    <row r="105" customFormat="false" ht="15" hidden="false" customHeight="false" outlineLevel="0" collapsed="false">
      <c r="A105" s="4" t="n">
        <v>110</v>
      </c>
      <c r="B105" s="15" t="n">
        <v>46273</v>
      </c>
      <c r="C105" s="4" t="s">
        <v>29</v>
      </c>
      <c r="D105" s="4" t="s">
        <v>131</v>
      </c>
      <c r="E105" s="17" t="s">
        <v>132</v>
      </c>
      <c r="F105" s="11" t="n">
        <v>15</v>
      </c>
      <c r="G105" s="4"/>
      <c r="H105" s="4"/>
      <c r="I105" s="17"/>
      <c r="J105" s="4" t="s">
        <v>78</v>
      </c>
      <c r="K105" s="4"/>
    </row>
    <row r="106" customFormat="false" ht="15" hidden="false" customHeight="false" outlineLevel="0" collapsed="false">
      <c r="A106" s="4" t="n">
        <v>111</v>
      </c>
      <c r="B106" s="15" t="n">
        <v>46274</v>
      </c>
      <c r="C106" s="4" t="s">
        <v>30</v>
      </c>
      <c r="D106" s="4" t="s">
        <v>128</v>
      </c>
      <c r="E106" s="17" t="s">
        <v>129</v>
      </c>
      <c r="F106" s="11" t="n">
        <v>26</v>
      </c>
      <c r="G106" s="4"/>
      <c r="H106" s="4"/>
      <c r="I106" s="17"/>
      <c r="J106" s="4" t="s">
        <v>78</v>
      </c>
      <c r="K106" s="4"/>
    </row>
    <row r="107" customFormat="false" ht="15" hidden="false" customHeight="false" outlineLevel="0" collapsed="false">
      <c r="A107" s="4" t="n">
        <v>112</v>
      </c>
      <c r="B107" s="15" t="n">
        <v>46274</v>
      </c>
      <c r="C107" s="4" t="s">
        <v>31</v>
      </c>
      <c r="D107" s="4" t="s">
        <v>119</v>
      </c>
      <c r="E107" s="17" t="s">
        <v>120</v>
      </c>
      <c r="F107" s="11" t="n">
        <v>125</v>
      </c>
      <c r="G107" s="4"/>
      <c r="H107" s="4"/>
      <c r="I107" s="17"/>
      <c r="J107" s="4" t="s">
        <v>78</v>
      </c>
      <c r="K107" s="4" t="s">
        <v>119</v>
      </c>
    </row>
    <row r="108" customFormat="false" ht="15" hidden="false" customHeight="false" outlineLevel="0" collapsed="false">
      <c r="A108" s="4" t="n">
        <v>113</v>
      </c>
      <c r="B108" s="15" t="n">
        <v>46275</v>
      </c>
      <c r="C108" s="4" t="s">
        <v>34</v>
      </c>
      <c r="D108" s="4" t="s">
        <v>124</v>
      </c>
      <c r="E108" s="17" t="s">
        <v>125</v>
      </c>
      <c r="F108" s="11" t="n">
        <v>12</v>
      </c>
      <c r="G108" s="4"/>
      <c r="H108" s="4"/>
      <c r="I108" s="17"/>
      <c r="J108" s="4" t="s">
        <v>78</v>
      </c>
      <c r="K108" s="4"/>
    </row>
    <row r="109" customFormat="false" ht="15" hidden="false" customHeight="false" outlineLevel="0" collapsed="false">
      <c r="A109" s="4" t="n">
        <v>114</v>
      </c>
      <c r="B109" s="15" t="n">
        <v>46275</v>
      </c>
      <c r="C109" s="4" t="s">
        <v>31</v>
      </c>
      <c r="D109" s="4" t="s">
        <v>136</v>
      </c>
      <c r="E109" s="17" t="s">
        <v>137</v>
      </c>
      <c r="F109" s="11" t="n">
        <v>87</v>
      </c>
      <c r="G109" s="4"/>
      <c r="H109" s="4"/>
      <c r="I109" s="17" t="s">
        <v>164</v>
      </c>
      <c r="J109" s="4" t="s">
        <v>78</v>
      </c>
      <c r="K109" s="4" t="s">
        <v>136</v>
      </c>
    </row>
    <row r="110" customFormat="false" ht="15" hidden="false" customHeight="false" outlineLevel="0" collapsed="false">
      <c r="A110" s="4" t="n">
        <v>115</v>
      </c>
      <c r="B110" s="15" t="n">
        <v>46275</v>
      </c>
      <c r="C110" s="4" t="s">
        <v>30</v>
      </c>
      <c r="D110" s="4" t="s">
        <v>128</v>
      </c>
      <c r="E110" s="17" t="s">
        <v>129</v>
      </c>
      <c r="F110" s="11" t="n">
        <v>43</v>
      </c>
      <c r="G110" s="4"/>
      <c r="H110" s="4"/>
      <c r="I110" s="17"/>
      <c r="J110" s="4" t="s">
        <v>78</v>
      </c>
      <c r="K110" s="4"/>
    </row>
    <row r="111" customFormat="false" ht="15" hidden="false" customHeight="false" outlineLevel="0" collapsed="false">
      <c r="A111" s="4" t="n">
        <v>116</v>
      </c>
      <c r="B111" s="15" t="n">
        <v>46275</v>
      </c>
      <c r="C111" s="4" t="s">
        <v>35</v>
      </c>
      <c r="D111" s="4" t="s">
        <v>168</v>
      </c>
      <c r="E111" s="17" t="s">
        <v>169</v>
      </c>
      <c r="F111" s="11" t="n">
        <v>60</v>
      </c>
      <c r="G111" s="4"/>
      <c r="H111" s="4"/>
      <c r="I111" s="17"/>
      <c r="J111" s="4" t="s">
        <v>81</v>
      </c>
      <c r="K111" s="4"/>
    </row>
    <row r="112" customFormat="false" ht="15" hidden="false" customHeight="false" outlineLevel="0" collapsed="false">
      <c r="A112" s="4" t="n">
        <v>117</v>
      </c>
      <c r="B112" s="15" t="n">
        <v>46276</v>
      </c>
      <c r="C112" s="4" t="s">
        <v>31</v>
      </c>
      <c r="D112" s="4" t="s">
        <v>159</v>
      </c>
      <c r="E112" s="17" t="s">
        <v>160</v>
      </c>
      <c r="F112" s="11" t="n">
        <v>40</v>
      </c>
      <c r="G112" s="4"/>
      <c r="H112" s="4"/>
      <c r="I112" s="17" t="s">
        <v>162</v>
      </c>
      <c r="J112" s="4" t="s">
        <v>78</v>
      </c>
      <c r="K112" s="4" t="s">
        <v>170</v>
      </c>
    </row>
    <row r="113" customFormat="false" ht="15" hidden="false" customHeight="false" outlineLevel="0" collapsed="false">
      <c r="A113" s="4" t="n">
        <v>118</v>
      </c>
      <c r="B113" s="15" t="n">
        <v>46276</v>
      </c>
      <c r="C113" s="4" t="s">
        <v>29</v>
      </c>
      <c r="D113" s="4" t="s">
        <v>116</v>
      </c>
      <c r="E113" s="17" t="s">
        <v>117</v>
      </c>
      <c r="F113" s="11" t="n">
        <v>15</v>
      </c>
      <c r="G113" s="4"/>
      <c r="H113" s="4"/>
      <c r="I113" s="17"/>
      <c r="J113" s="4" t="s">
        <v>78</v>
      </c>
      <c r="K113" s="4"/>
    </row>
    <row r="114" customFormat="false" ht="15" hidden="false" customHeight="false" outlineLevel="0" collapsed="false">
      <c r="A114" s="4" t="n">
        <v>119</v>
      </c>
      <c r="B114" s="15" t="n">
        <v>46278</v>
      </c>
      <c r="C114" s="4" t="s">
        <v>34</v>
      </c>
      <c r="D114" s="4" t="s">
        <v>124</v>
      </c>
      <c r="E114" s="17" t="s">
        <v>125</v>
      </c>
      <c r="F114" s="11" t="n">
        <v>24</v>
      </c>
      <c r="G114" s="4"/>
      <c r="H114" s="4"/>
      <c r="I114" s="17"/>
      <c r="J114" s="4" t="s">
        <v>78</v>
      </c>
      <c r="K114" s="4"/>
    </row>
    <row r="115" customFormat="false" ht="15" hidden="false" customHeight="false" outlineLevel="0" collapsed="false">
      <c r="A115" s="4" t="n">
        <v>120</v>
      </c>
      <c r="B115" s="15" t="n">
        <v>46278</v>
      </c>
      <c r="C115" s="4" t="s">
        <v>35</v>
      </c>
      <c r="D115" s="4" t="s">
        <v>168</v>
      </c>
      <c r="E115" s="17" t="s">
        <v>169</v>
      </c>
      <c r="F115" s="11" t="n">
        <v>120</v>
      </c>
      <c r="G115" s="4"/>
      <c r="H115" s="4"/>
      <c r="I115" s="17"/>
      <c r="J115" s="4" t="s">
        <v>81</v>
      </c>
      <c r="K115" s="4"/>
    </row>
    <row r="116" customFormat="false" ht="15" hidden="false" customHeight="false" outlineLevel="0" collapsed="false">
      <c r="A116" s="4" t="n">
        <v>121</v>
      </c>
      <c r="B116" s="15" t="n">
        <v>46279</v>
      </c>
      <c r="C116" s="4" t="s">
        <v>35</v>
      </c>
      <c r="D116" s="4" t="s">
        <v>148</v>
      </c>
      <c r="E116" s="17" t="s">
        <v>149</v>
      </c>
      <c r="F116" s="11" t="n">
        <v>16</v>
      </c>
      <c r="G116" s="4"/>
      <c r="H116" s="4"/>
      <c r="I116" s="17"/>
      <c r="J116" s="4" t="s">
        <v>78</v>
      </c>
      <c r="K116" s="4"/>
    </row>
    <row r="117" customFormat="false" ht="15" hidden="false" customHeight="false" outlineLevel="0" collapsed="false">
      <c r="A117" s="4" t="n">
        <v>122</v>
      </c>
      <c r="B117" s="15" t="n">
        <v>46279</v>
      </c>
      <c r="C117" s="4" t="s">
        <v>30</v>
      </c>
      <c r="D117" s="4" t="s">
        <v>128</v>
      </c>
      <c r="E117" s="17" t="s">
        <v>129</v>
      </c>
      <c r="F117" s="11" t="n">
        <v>38</v>
      </c>
      <c r="G117" s="4"/>
      <c r="H117" s="4"/>
      <c r="I117" s="17"/>
      <c r="J117" s="4" t="s">
        <v>78</v>
      </c>
      <c r="K117" s="4"/>
    </row>
    <row r="118" customFormat="false" ht="15" hidden="false" customHeight="false" outlineLevel="0" collapsed="false">
      <c r="A118" s="4" t="n">
        <v>123</v>
      </c>
      <c r="B118" s="15" t="n">
        <v>46279</v>
      </c>
      <c r="C118" s="4" t="s">
        <v>35</v>
      </c>
      <c r="D118" s="4" t="s">
        <v>168</v>
      </c>
      <c r="E118" s="17" t="s">
        <v>169</v>
      </c>
      <c r="F118" s="11" t="n">
        <v>60</v>
      </c>
      <c r="G118" s="4"/>
      <c r="H118" s="4"/>
      <c r="I118" s="17"/>
      <c r="J118" s="4" t="s">
        <v>81</v>
      </c>
      <c r="K118" s="4"/>
    </row>
    <row r="119" customFormat="false" ht="15" hidden="false" customHeight="false" outlineLevel="0" collapsed="false">
      <c r="A119" s="4" t="n">
        <v>124</v>
      </c>
      <c r="B119" s="15" t="n">
        <v>46280</v>
      </c>
      <c r="C119" s="4" t="s">
        <v>31</v>
      </c>
      <c r="D119" s="4" t="s">
        <v>134</v>
      </c>
      <c r="E119" s="17" t="s">
        <v>135</v>
      </c>
      <c r="F119" s="11" t="n">
        <v>55</v>
      </c>
      <c r="G119" s="4"/>
      <c r="H119" s="4"/>
      <c r="I119" s="17"/>
      <c r="J119" s="4" t="s">
        <v>78</v>
      </c>
      <c r="K119" s="4"/>
    </row>
    <row r="120" customFormat="false" ht="15" hidden="false" customHeight="false" outlineLevel="0" collapsed="false">
      <c r="A120" s="4" t="n">
        <v>125</v>
      </c>
      <c r="B120" s="15" t="n">
        <v>46280</v>
      </c>
      <c r="C120" s="4" t="s">
        <v>35</v>
      </c>
      <c r="D120" s="4" t="s">
        <v>168</v>
      </c>
      <c r="E120" s="17" t="s">
        <v>169</v>
      </c>
      <c r="F120" s="11" t="n">
        <v>120</v>
      </c>
      <c r="G120" s="4"/>
      <c r="H120" s="4"/>
      <c r="I120" s="17"/>
      <c r="J120" s="4" t="s">
        <v>81</v>
      </c>
      <c r="K120" s="4"/>
    </row>
    <row r="121" customFormat="false" ht="15" hidden="false" customHeight="false" outlineLevel="0" collapsed="false">
      <c r="A121" s="4" t="n">
        <v>126</v>
      </c>
      <c r="B121" s="15" t="n">
        <v>46281</v>
      </c>
      <c r="C121" s="4" t="s">
        <v>31</v>
      </c>
      <c r="D121" s="4" t="s">
        <v>119</v>
      </c>
      <c r="E121" s="17" t="s">
        <v>120</v>
      </c>
      <c r="F121" s="11" t="n">
        <v>40</v>
      </c>
      <c r="G121" s="4"/>
      <c r="H121" s="4"/>
      <c r="I121" s="17"/>
      <c r="J121" s="4" t="s">
        <v>78</v>
      </c>
      <c r="K121" s="4" t="s">
        <v>119</v>
      </c>
    </row>
    <row r="122" customFormat="false" ht="15" hidden="false" customHeight="false" outlineLevel="0" collapsed="false">
      <c r="A122" s="4" t="n">
        <v>127</v>
      </c>
      <c r="B122" s="15" t="n">
        <v>46281</v>
      </c>
      <c r="C122" s="4" t="s">
        <v>29</v>
      </c>
      <c r="D122" s="4" t="s">
        <v>116</v>
      </c>
      <c r="E122" s="17" t="s">
        <v>117</v>
      </c>
      <c r="F122" s="11" t="n">
        <v>12</v>
      </c>
      <c r="G122" s="4"/>
      <c r="H122" s="4"/>
      <c r="I122" s="17"/>
      <c r="J122" s="4" t="s">
        <v>78</v>
      </c>
      <c r="K122" s="4"/>
    </row>
    <row r="123" customFormat="false" ht="15" hidden="false" customHeight="false" outlineLevel="0" collapsed="false">
      <c r="A123" s="4" t="n">
        <v>128</v>
      </c>
      <c r="B123" s="15" t="n">
        <v>46282</v>
      </c>
      <c r="C123" s="4" t="s">
        <v>31</v>
      </c>
      <c r="D123" s="4" t="s">
        <v>119</v>
      </c>
      <c r="E123" s="17" t="s">
        <v>120</v>
      </c>
      <c r="F123" s="11" t="n">
        <v>103</v>
      </c>
      <c r="G123" s="4"/>
      <c r="H123" s="4"/>
      <c r="I123" s="17" t="s">
        <v>164</v>
      </c>
      <c r="J123" s="4" t="s">
        <v>78</v>
      </c>
      <c r="K123" s="4" t="s">
        <v>119</v>
      </c>
    </row>
    <row r="124" customFormat="false" ht="15" hidden="false" customHeight="false" outlineLevel="0" collapsed="false">
      <c r="A124" s="4" t="n">
        <v>129</v>
      </c>
      <c r="B124" s="15" t="n">
        <v>46282</v>
      </c>
      <c r="C124" s="4" t="s">
        <v>32</v>
      </c>
      <c r="D124" s="4" t="s">
        <v>144</v>
      </c>
      <c r="E124" s="17" t="s">
        <v>145</v>
      </c>
      <c r="F124" s="11" t="n">
        <v>61</v>
      </c>
      <c r="G124" s="4"/>
      <c r="H124" s="4"/>
      <c r="I124" s="17"/>
      <c r="J124" s="4" t="s">
        <v>78</v>
      </c>
      <c r="K124" s="4"/>
    </row>
    <row r="125" customFormat="false" ht="15" hidden="false" customHeight="false" outlineLevel="0" collapsed="false">
      <c r="A125" s="4" t="n">
        <v>130</v>
      </c>
      <c r="B125" s="15" t="n">
        <v>46282</v>
      </c>
      <c r="C125" s="4" t="s">
        <v>31</v>
      </c>
      <c r="D125" s="4" t="s">
        <v>134</v>
      </c>
      <c r="E125" s="17" t="s">
        <v>135</v>
      </c>
      <c r="F125" s="11" t="n">
        <v>44</v>
      </c>
      <c r="G125" s="4"/>
      <c r="H125" s="4"/>
      <c r="I125" s="17"/>
      <c r="J125" s="4" t="s">
        <v>78</v>
      </c>
      <c r="K125" s="4"/>
    </row>
    <row r="126" customFormat="false" ht="15" hidden="false" customHeight="false" outlineLevel="0" collapsed="false">
      <c r="A126" s="4" t="n">
        <v>131</v>
      </c>
      <c r="B126" s="15" t="n">
        <v>46282</v>
      </c>
      <c r="C126" s="4" t="s">
        <v>35</v>
      </c>
      <c r="D126" s="4" t="s">
        <v>168</v>
      </c>
      <c r="E126" s="17" t="s">
        <v>169</v>
      </c>
      <c r="F126" s="11" t="n">
        <v>90</v>
      </c>
      <c r="G126" s="4"/>
      <c r="H126" s="4"/>
      <c r="I126" s="17"/>
      <c r="J126" s="4" t="s">
        <v>81</v>
      </c>
      <c r="K126" s="4"/>
    </row>
    <row r="127" customFormat="false" ht="15" hidden="false" customHeight="false" outlineLevel="0" collapsed="false">
      <c r="A127" s="4" t="n">
        <v>132</v>
      </c>
      <c r="B127" s="15" t="n">
        <v>46283</v>
      </c>
      <c r="C127" s="4" t="s">
        <v>29</v>
      </c>
      <c r="D127" s="4" t="s">
        <v>131</v>
      </c>
      <c r="E127" s="17" t="s">
        <v>132</v>
      </c>
      <c r="F127" s="11" t="n">
        <v>23</v>
      </c>
      <c r="G127" s="4"/>
      <c r="H127" s="4"/>
      <c r="I127" s="17"/>
      <c r="J127" s="4" t="s">
        <v>78</v>
      </c>
      <c r="K127" s="4"/>
    </row>
    <row r="128" customFormat="false" ht="15" hidden="false" customHeight="false" outlineLevel="0" collapsed="false">
      <c r="A128" s="4" t="n">
        <v>133</v>
      </c>
      <c r="B128" s="15" t="n">
        <v>46283</v>
      </c>
      <c r="C128" s="4" t="s">
        <v>33</v>
      </c>
      <c r="D128" s="4" t="s">
        <v>151</v>
      </c>
      <c r="E128" s="17" t="s">
        <v>152</v>
      </c>
      <c r="F128" s="11" t="n">
        <v>18</v>
      </c>
      <c r="G128" s="4"/>
      <c r="H128" s="4"/>
      <c r="I128" s="17"/>
      <c r="J128" s="4" t="s">
        <v>78</v>
      </c>
      <c r="K128" s="4"/>
    </row>
    <row r="129" customFormat="false" ht="15" hidden="false" customHeight="false" outlineLevel="0" collapsed="false">
      <c r="A129" s="4" t="n">
        <v>134</v>
      </c>
      <c r="B129" s="15" t="n">
        <v>46283</v>
      </c>
      <c r="C129" s="4" t="s">
        <v>29</v>
      </c>
      <c r="D129" s="4" t="s">
        <v>116</v>
      </c>
      <c r="E129" s="17" t="s">
        <v>117</v>
      </c>
      <c r="F129" s="11" t="n">
        <v>14</v>
      </c>
      <c r="G129" s="4"/>
      <c r="H129" s="4"/>
      <c r="I129" s="17"/>
      <c r="J129" s="4" t="s">
        <v>78</v>
      </c>
      <c r="K129" s="4"/>
    </row>
    <row r="130" customFormat="false" ht="15" hidden="false" customHeight="false" outlineLevel="0" collapsed="false">
      <c r="A130" s="4" t="n">
        <v>135</v>
      </c>
      <c r="B130" s="15" t="n">
        <v>46284</v>
      </c>
      <c r="C130" s="4" t="s">
        <v>29</v>
      </c>
      <c r="D130" s="4" t="s">
        <v>116</v>
      </c>
      <c r="E130" s="17" t="s">
        <v>117</v>
      </c>
      <c r="F130" s="11" t="n">
        <v>16</v>
      </c>
      <c r="G130" s="4"/>
      <c r="H130" s="4"/>
      <c r="I130" s="17"/>
      <c r="J130" s="4" t="s">
        <v>78</v>
      </c>
      <c r="K130" s="4"/>
    </row>
    <row r="131" customFormat="false" ht="15" hidden="false" customHeight="false" outlineLevel="0" collapsed="false">
      <c r="A131" s="4" t="n">
        <v>136</v>
      </c>
      <c r="B131" s="15" t="n">
        <v>46284</v>
      </c>
      <c r="C131" s="4" t="s">
        <v>31</v>
      </c>
      <c r="D131" s="4" t="s">
        <v>136</v>
      </c>
      <c r="E131" s="17" t="s">
        <v>137</v>
      </c>
      <c r="F131" s="11" t="n">
        <v>155</v>
      </c>
      <c r="G131" s="4"/>
      <c r="H131" s="4"/>
      <c r="I131" s="17"/>
      <c r="J131" s="4" t="s">
        <v>78</v>
      </c>
      <c r="K131" s="4" t="s">
        <v>136</v>
      </c>
    </row>
    <row r="132" customFormat="false" ht="15" hidden="false" customHeight="false" outlineLevel="0" collapsed="false">
      <c r="A132" s="4" t="n">
        <v>137</v>
      </c>
      <c r="B132" s="15" t="n">
        <v>46284</v>
      </c>
      <c r="C132" s="4" t="s">
        <v>35</v>
      </c>
      <c r="D132" s="4" t="s">
        <v>168</v>
      </c>
      <c r="E132" s="17" t="s">
        <v>169</v>
      </c>
      <c r="F132" s="11" t="n">
        <v>120</v>
      </c>
      <c r="G132" s="4"/>
      <c r="H132" s="4"/>
      <c r="I132" s="17"/>
      <c r="J132" s="4" t="s">
        <v>81</v>
      </c>
      <c r="K132" s="4"/>
    </row>
    <row r="133" customFormat="false" ht="15" hidden="false" customHeight="false" outlineLevel="0" collapsed="false">
      <c r="A133" s="4" t="n">
        <v>138</v>
      </c>
      <c r="B133" s="15" t="n">
        <v>46285</v>
      </c>
      <c r="C133" s="4" t="s">
        <v>32</v>
      </c>
      <c r="D133" s="4" t="s">
        <v>144</v>
      </c>
      <c r="E133" s="17" t="s">
        <v>145</v>
      </c>
      <c r="F133" s="11" t="n">
        <v>54</v>
      </c>
      <c r="G133" s="4"/>
      <c r="H133" s="4"/>
      <c r="I133" s="17"/>
      <c r="J133" s="4" t="s">
        <v>78</v>
      </c>
      <c r="K133" s="4"/>
    </row>
    <row r="134" customFormat="false" ht="15" hidden="false" customHeight="false" outlineLevel="0" collapsed="false">
      <c r="A134" s="4" t="n">
        <v>139</v>
      </c>
      <c r="B134" s="15" t="n">
        <v>46285</v>
      </c>
      <c r="C134" s="4" t="s">
        <v>29</v>
      </c>
      <c r="D134" s="4" t="s">
        <v>116</v>
      </c>
      <c r="E134" s="17" t="s">
        <v>117</v>
      </c>
      <c r="F134" s="11" t="n">
        <v>19</v>
      </c>
      <c r="G134" s="4"/>
      <c r="H134" s="4"/>
      <c r="I134" s="17"/>
      <c r="J134" s="4" t="s">
        <v>78</v>
      </c>
      <c r="K134" s="4"/>
    </row>
    <row r="135" customFormat="false" ht="15" hidden="false" customHeight="false" outlineLevel="0" collapsed="false">
      <c r="A135" s="4" t="n">
        <v>140</v>
      </c>
      <c r="B135" s="15" t="n">
        <v>46285</v>
      </c>
      <c r="C135" s="4" t="s">
        <v>31</v>
      </c>
      <c r="D135" s="4" t="s">
        <v>119</v>
      </c>
      <c r="E135" s="17" t="s">
        <v>120</v>
      </c>
      <c r="F135" s="11" t="n">
        <v>62</v>
      </c>
      <c r="G135" s="4"/>
      <c r="H135" s="4"/>
      <c r="I135" s="17" t="s">
        <v>122</v>
      </c>
      <c r="J135" s="4" t="s">
        <v>78</v>
      </c>
      <c r="K135" s="4" t="s">
        <v>119</v>
      </c>
    </row>
    <row r="136" customFormat="false" ht="15" hidden="false" customHeight="false" outlineLevel="0" collapsed="false">
      <c r="A136" s="4" t="n">
        <v>141</v>
      </c>
      <c r="B136" s="15" t="n">
        <v>46286</v>
      </c>
      <c r="C136" s="4" t="s">
        <v>31</v>
      </c>
      <c r="D136" s="4" t="s">
        <v>119</v>
      </c>
      <c r="E136" s="17" t="s">
        <v>120</v>
      </c>
      <c r="F136" s="11" t="n">
        <v>63</v>
      </c>
      <c r="G136" s="4"/>
      <c r="H136" s="4"/>
      <c r="I136" s="17"/>
      <c r="J136" s="4" t="s">
        <v>78</v>
      </c>
      <c r="K136" s="4" t="s">
        <v>119</v>
      </c>
    </row>
    <row r="137" customFormat="false" ht="15" hidden="false" customHeight="false" outlineLevel="0" collapsed="false">
      <c r="A137" s="4" t="n">
        <v>142</v>
      </c>
      <c r="B137" s="15" t="n">
        <v>46288</v>
      </c>
      <c r="C137" s="4" t="s">
        <v>35</v>
      </c>
      <c r="D137" s="4" t="s">
        <v>148</v>
      </c>
      <c r="E137" s="17" t="s">
        <v>149</v>
      </c>
      <c r="F137" s="11" t="n">
        <v>31</v>
      </c>
      <c r="G137" s="4"/>
      <c r="H137" s="4"/>
      <c r="I137" s="17"/>
      <c r="J137" s="4" t="s">
        <v>78</v>
      </c>
      <c r="K137" s="4"/>
    </row>
    <row r="138" customFormat="false" ht="15" hidden="false" customHeight="false" outlineLevel="0" collapsed="false">
      <c r="A138" s="4" t="n">
        <v>143</v>
      </c>
      <c r="B138" s="15" t="n">
        <v>46288</v>
      </c>
      <c r="C138" s="4" t="s">
        <v>31</v>
      </c>
      <c r="D138" s="4" t="s">
        <v>119</v>
      </c>
      <c r="E138" s="17" t="s">
        <v>120</v>
      </c>
      <c r="F138" s="11" t="n">
        <v>116</v>
      </c>
      <c r="G138" s="4"/>
      <c r="H138" s="4"/>
      <c r="I138" s="17"/>
      <c r="J138" s="4" t="s">
        <v>78</v>
      </c>
      <c r="K138" s="4" t="s">
        <v>119</v>
      </c>
    </row>
    <row r="139" customFormat="false" ht="15" hidden="false" customHeight="false" outlineLevel="0" collapsed="false">
      <c r="A139" s="4" t="n">
        <v>144</v>
      </c>
      <c r="B139" s="15" t="n">
        <v>46288</v>
      </c>
      <c r="C139" s="4" t="s">
        <v>30</v>
      </c>
      <c r="D139" s="4" t="s">
        <v>128</v>
      </c>
      <c r="E139" s="17" t="s">
        <v>129</v>
      </c>
      <c r="F139" s="11" t="n">
        <v>35</v>
      </c>
      <c r="G139" s="4"/>
      <c r="H139" s="4"/>
      <c r="I139" s="17"/>
      <c r="J139" s="4" t="s">
        <v>78</v>
      </c>
      <c r="K139" s="4"/>
    </row>
    <row r="140" customFormat="false" ht="15" hidden="false" customHeight="false" outlineLevel="0" collapsed="false">
      <c r="A140" s="4" t="n">
        <v>145</v>
      </c>
      <c r="B140" s="15" t="n">
        <v>46289</v>
      </c>
      <c r="C140" s="4" t="s">
        <v>33</v>
      </c>
      <c r="D140" s="4" t="s">
        <v>151</v>
      </c>
      <c r="E140" s="17" t="s">
        <v>152</v>
      </c>
      <c r="F140" s="11" t="n">
        <v>15</v>
      </c>
      <c r="G140" s="4"/>
      <c r="H140" s="4"/>
      <c r="I140" s="17"/>
      <c r="J140" s="4" t="s">
        <v>78</v>
      </c>
      <c r="K140" s="4"/>
    </row>
    <row r="141" customFormat="false" ht="15" hidden="false" customHeight="false" outlineLevel="0" collapsed="false">
      <c r="A141" s="4" t="n">
        <v>146</v>
      </c>
      <c r="B141" s="15" t="n">
        <v>46289</v>
      </c>
      <c r="C141" s="4" t="s">
        <v>29</v>
      </c>
      <c r="D141" s="4" t="s">
        <v>131</v>
      </c>
      <c r="E141" s="17" t="s">
        <v>132</v>
      </c>
      <c r="F141" s="11" t="n">
        <v>27</v>
      </c>
      <c r="G141" s="4"/>
      <c r="H141" s="4"/>
      <c r="I141" s="17"/>
      <c r="J141" s="4" t="s">
        <v>78</v>
      </c>
      <c r="K141" s="4"/>
    </row>
    <row r="142" customFormat="false" ht="15" hidden="false" customHeight="false" outlineLevel="0" collapsed="false">
      <c r="A142" s="4" t="n">
        <v>147</v>
      </c>
      <c r="B142" s="15" t="n">
        <v>46289</v>
      </c>
      <c r="C142" s="4" t="s">
        <v>29</v>
      </c>
      <c r="D142" s="4" t="s">
        <v>116</v>
      </c>
      <c r="E142" s="17" t="s">
        <v>117</v>
      </c>
      <c r="F142" s="11" t="n">
        <v>17</v>
      </c>
      <c r="G142" s="4"/>
      <c r="H142" s="4"/>
      <c r="I142" s="17"/>
      <c r="J142" s="4" t="s">
        <v>78</v>
      </c>
      <c r="K142" s="4"/>
    </row>
    <row r="143" customFormat="false" ht="15" hidden="false" customHeight="false" outlineLevel="0" collapsed="false">
      <c r="A143" s="4" t="n">
        <v>148</v>
      </c>
      <c r="B143" s="15" t="n">
        <v>46289</v>
      </c>
      <c r="C143" s="4" t="s">
        <v>35</v>
      </c>
      <c r="D143" s="4" t="s">
        <v>168</v>
      </c>
      <c r="E143" s="17" t="s">
        <v>169</v>
      </c>
      <c r="F143" s="11" t="n">
        <v>90</v>
      </c>
      <c r="G143" s="4"/>
      <c r="H143" s="4"/>
      <c r="I143" s="17"/>
      <c r="J143" s="4" t="s">
        <v>81</v>
      </c>
      <c r="K143" s="4"/>
    </row>
    <row r="144" customFormat="false" ht="15" hidden="false" customHeight="false" outlineLevel="0" collapsed="false">
      <c r="A144" s="4" t="n">
        <v>149</v>
      </c>
      <c r="B144" s="15" t="n">
        <v>46291</v>
      </c>
      <c r="C144" s="4" t="s">
        <v>29</v>
      </c>
      <c r="D144" s="4" t="s">
        <v>116</v>
      </c>
      <c r="E144" s="17" t="s">
        <v>117</v>
      </c>
      <c r="F144" s="11" t="n">
        <v>12</v>
      </c>
      <c r="G144" s="4"/>
      <c r="H144" s="4"/>
      <c r="I144" s="17"/>
      <c r="J144" s="4" t="s">
        <v>78</v>
      </c>
      <c r="K144" s="4"/>
    </row>
    <row r="145" customFormat="false" ht="15" hidden="false" customHeight="false" outlineLevel="0" collapsed="false">
      <c r="A145" s="4" t="n">
        <v>150</v>
      </c>
      <c r="B145" s="15" t="n">
        <v>46291</v>
      </c>
      <c r="C145" s="4" t="s">
        <v>31</v>
      </c>
      <c r="D145" s="4" t="s">
        <v>119</v>
      </c>
      <c r="E145" s="17" t="s">
        <v>120</v>
      </c>
      <c r="F145" s="11" t="n">
        <v>78</v>
      </c>
      <c r="G145" s="4"/>
      <c r="H145" s="4"/>
      <c r="I145" s="17" t="s">
        <v>164</v>
      </c>
      <c r="J145" s="4" t="s">
        <v>78</v>
      </c>
      <c r="K145" s="4" t="s">
        <v>119</v>
      </c>
    </row>
    <row r="146" customFormat="false" ht="15" hidden="false" customHeight="false" outlineLevel="0" collapsed="false">
      <c r="A146" s="4" t="n">
        <v>151</v>
      </c>
      <c r="B146" s="15" t="n">
        <v>46291</v>
      </c>
      <c r="C146" s="4" t="s">
        <v>35</v>
      </c>
      <c r="D146" s="4" t="s">
        <v>168</v>
      </c>
      <c r="E146" s="17" t="s">
        <v>169</v>
      </c>
      <c r="F146" s="11" t="n">
        <v>120</v>
      </c>
      <c r="G146" s="4"/>
      <c r="H146" s="4"/>
      <c r="I146" s="17"/>
      <c r="J146" s="4" t="s">
        <v>81</v>
      </c>
      <c r="K146" s="4"/>
    </row>
    <row r="147" customFormat="false" ht="15" hidden="false" customHeight="false" outlineLevel="0" collapsed="false">
      <c r="A147" s="4" t="n">
        <v>152</v>
      </c>
      <c r="B147" s="15" t="n">
        <v>46292</v>
      </c>
      <c r="C147" s="4" t="s">
        <v>31</v>
      </c>
      <c r="D147" s="4" t="s">
        <v>159</v>
      </c>
      <c r="E147" s="17" t="s">
        <v>160</v>
      </c>
      <c r="F147" s="11" t="n">
        <v>87</v>
      </c>
      <c r="G147" s="4"/>
      <c r="H147" s="4"/>
      <c r="I147" s="17"/>
      <c r="J147" s="4" t="s">
        <v>78</v>
      </c>
      <c r="K147" s="4" t="s">
        <v>170</v>
      </c>
    </row>
    <row r="148" customFormat="false" ht="15" hidden="false" customHeight="false" outlineLevel="0" collapsed="false">
      <c r="A148" s="4" t="n">
        <v>153</v>
      </c>
      <c r="B148" s="15" t="n">
        <v>46292</v>
      </c>
      <c r="C148" s="4" t="s">
        <v>29</v>
      </c>
      <c r="D148" s="4" t="s">
        <v>116</v>
      </c>
      <c r="E148" s="17" t="s">
        <v>117</v>
      </c>
      <c r="F148" s="11" t="n">
        <v>21</v>
      </c>
      <c r="G148" s="4"/>
      <c r="H148" s="4"/>
      <c r="I148" s="17"/>
      <c r="J148" s="4" t="s">
        <v>78</v>
      </c>
      <c r="K148" s="4"/>
    </row>
    <row r="149" customFormat="false" ht="15" hidden="false" customHeight="false" outlineLevel="0" collapsed="false">
      <c r="A149" s="4" t="n">
        <v>154</v>
      </c>
      <c r="B149" s="15" t="n">
        <v>46293</v>
      </c>
      <c r="C149" s="4" t="s">
        <v>29</v>
      </c>
      <c r="D149" s="4" t="s">
        <v>131</v>
      </c>
      <c r="E149" s="17" t="s">
        <v>132</v>
      </c>
      <c r="F149" s="11" t="n">
        <v>16</v>
      </c>
      <c r="G149" s="4"/>
      <c r="H149" s="4"/>
      <c r="I149" s="17"/>
      <c r="J149" s="4" t="s">
        <v>78</v>
      </c>
      <c r="K149" s="4"/>
    </row>
    <row r="150" customFormat="false" ht="15" hidden="false" customHeight="false" outlineLevel="0" collapsed="false">
      <c r="A150" s="4" t="n">
        <v>155</v>
      </c>
      <c r="B150" s="15" t="n">
        <v>46293</v>
      </c>
      <c r="C150" s="4" t="s">
        <v>29</v>
      </c>
      <c r="D150" s="4" t="s">
        <v>116</v>
      </c>
      <c r="E150" s="17" t="s">
        <v>117</v>
      </c>
      <c r="F150" s="11" t="n">
        <v>13</v>
      </c>
      <c r="G150" s="4"/>
      <c r="H150" s="4"/>
      <c r="I150" s="17"/>
      <c r="J150" s="4" t="s">
        <v>78</v>
      </c>
      <c r="K150" s="4"/>
    </row>
    <row r="151" customFormat="false" ht="15" hidden="false" customHeight="false" outlineLevel="0" collapsed="false">
      <c r="A151" s="4" t="n">
        <v>156</v>
      </c>
      <c r="B151" s="15" t="n">
        <v>46294</v>
      </c>
      <c r="C151" s="4" t="s">
        <v>32</v>
      </c>
      <c r="D151" s="4" t="s">
        <v>144</v>
      </c>
      <c r="E151" s="17" t="s">
        <v>145</v>
      </c>
      <c r="F151" s="11" t="n">
        <v>91</v>
      </c>
      <c r="G151" s="4"/>
      <c r="H151" s="4"/>
      <c r="I151" s="17"/>
      <c r="J151" s="4" t="s">
        <v>78</v>
      </c>
      <c r="K151" s="4"/>
    </row>
    <row r="152" customFormat="false" ht="15" hidden="false" customHeight="false" outlineLevel="0" collapsed="false">
      <c r="A152" s="4" t="n">
        <v>157</v>
      </c>
      <c r="B152" s="15" t="n">
        <v>46295</v>
      </c>
      <c r="C152" s="4" t="s">
        <v>33</v>
      </c>
      <c r="D152" s="4" t="s">
        <v>151</v>
      </c>
      <c r="E152" s="17" t="s">
        <v>152</v>
      </c>
      <c r="F152" s="11" t="n">
        <v>21</v>
      </c>
      <c r="G152" s="4"/>
      <c r="H152" s="4"/>
      <c r="I152" s="17"/>
      <c r="J152" s="4" t="s">
        <v>78</v>
      </c>
      <c r="K152" s="4"/>
    </row>
    <row r="153" customFormat="false" ht="15" hidden="false" customHeight="false" outlineLevel="0" collapsed="false">
      <c r="A153" s="4" t="n">
        <v>158</v>
      </c>
      <c r="B153" s="15" t="n">
        <v>46295</v>
      </c>
      <c r="C153" s="4" t="s">
        <v>31</v>
      </c>
      <c r="D153" s="4" t="s">
        <v>136</v>
      </c>
      <c r="E153" s="17" t="s">
        <v>137</v>
      </c>
      <c r="F153" s="11" t="n">
        <v>172</v>
      </c>
      <c r="G153" s="4"/>
      <c r="H153" s="4"/>
      <c r="I153" s="17" t="s">
        <v>164</v>
      </c>
      <c r="J153" s="4" t="s">
        <v>78</v>
      </c>
      <c r="K153" s="4" t="s">
        <v>136</v>
      </c>
    </row>
    <row r="154" customFormat="false" ht="15" hidden="false" customHeight="false" outlineLevel="0" collapsed="false">
      <c r="A154" s="4" t="n">
        <v>159</v>
      </c>
      <c r="B154" s="15" t="n">
        <v>46295</v>
      </c>
      <c r="C154" s="4" t="s">
        <v>31</v>
      </c>
      <c r="D154" s="4" t="s">
        <v>119</v>
      </c>
      <c r="E154" s="17" t="s">
        <v>120</v>
      </c>
      <c r="F154" s="11" t="n">
        <v>32</v>
      </c>
      <c r="G154" s="4"/>
      <c r="H154" s="4"/>
      <c r="I154" s="17"/>
      <c r="J154" s="4" t="s">
        <v>78</v>
      </c>
      <c r="K154" s="4" t="s">
        <v>119</v>
      </c>
    </row>
    <row r="155" customFormat="false" ht="15" hidden="false" customHeight="false" outlineLevel="0" collapsed="false">
      <c r="A155" s="4" t="n">
        <v>160</v>
      </c>
      <c r="B155" s="15" t="n">
        <v>46296</v>
      </c>
      <c r="C155" s="4" t="s">
        <v>35</v>
      </c>
      <c r="D155" s="4" t="s">
        <v>148</v>
      </c>
      <c r="E155" s="17" t="s">
        <v>149</v>
      </c>
      <c r="F155" s="11" t="n">
        <v>31</v>
      </c>
      <c r="G155" s="4"/>
      <c r="H155" s="4"/>
      <c r="I155" s="17"/>
      <c r="J155" s="4" t="s">
        <v>78</v>
      </c>
      <c r="K155" s="4"/>
    </row>
    <row r="156" customFormat="false" ht="15" hidden="false" customHeight="false" outlineLevel="0" collapsed="false">
      <c r="A156" s="4" t="n">
        <v>161</v>
      </c>
      <c r="B156" s="15" t="n">
        <v>46296</v>
      </c>
      <c r="C156" s="4" t="s">
        <v>29</v>
      </c>
      <c r="D156" s="4" t="s">
        <v>116</v>
      </c>
      <c r="E156" s="17" t="s">
        <v>117</v>
      </c>
      <c r="F156" s="11" t="n">
        <v>13</v>
      </c>
      <c r="G156" s="4"/>
      <c r="H156" s="4"/>
      <c r="I156" s="17"/>
      <c r="J156" s="4" t="s">
        <v>78</v>
      </c>
      <c r="K156" s="4"/>
    </row>
    <row r="157" customFormat="false" ht="15" hidden="false" customHeight="false" outlineLevel="0" collapsed="false">
      <c r="A157" s="4" t="n">
        <v>162</v>
      </c>
      <c r="B157" s="15" t="n">
        <v>46296</v>
      </c>
      <c r="C157" s="4" t="s">
        <v>32</v>
      </c>
      <c r="D157" s="4" t="s">
        <v>144</v>
      </c>
      <c r="E157" s="17" t="s">
        <v>145</v>
      </c>
      <c r="F157" s="11" t="n">
        <v>64</v>
      </c>
      <c r="G157" s="4"/>
      <c r="H157" s="4"/>
      <c r="I157" s="17"/>
      <c r="J157" s="4" t="s">
        <v>78</v>
      </c>
      <c r="K157" s="4"/>
    </row>
    <row r="158" customFormat="false" ht="15" hidden="false" customHeight="false" outlineLevel="0" collapsed="false">
      <c r="A158" s="4" t="n">
        <v>163</v>
      </c>
      <c r="B158" s="15" t="n">
        <v>46296</v>
      </c>
      <c r="C158" s="4" t="s">
        <v>33</v>
      </c>
      <c r="D158" s="4" t="s">
        <v>151</v>
      </c>
      <c r="E158" s="17" t="s">
        <v>152</v>
      </c>
      <c r="F158" s="11" t="n">
        <v>21</v>
      </c>
      <c r="G158" s="4"/>
      <c r="H158" s="4"/>
      <c r="I158" s="17"/>
      <c r="J158" s="4" t="s">
        <v>78</v>
      </c>
      <c r="K158" s="4"/>
    </row>
    <row r="159" customFormat="false" ht="15" hidden="false" customHeight="false" outlineLevel="0" collapsed="false">
      <c r="A159" s="4" t="n">
        <v>164</v>
      </c>
      <c r="B159" s="15" t="n">
        <v>46296</v>
      </c>
      <c r="C159" s="4" t="s">
        <v>35</v>
      </c>
      <c r="D159" s="4" t="s">
        <v>168</v>
      </c>
      <c r="E159" s="17" t="s">
        <v>169</v>
      </c>
      <c r="F159" s="11" t="n">
        <v>120</v>
      </c>
      <c r="G159" s="4"/>
      <c r="H159" s="4"/>
      <c r="I159" s="17"/>
      <c r="J159" s="4" t="s">
        <v>81</v>
      </c>
      <c r="K159" s="4"/>
    </row>
    <row r="160" customFormat="false" ht="15" hidden="false" customHeight="false" outlineLevel="0" collapsed="false">
      <c r="A160" s="4" t="n">
        <v>165</v>
      </c>
      <c r="B160" s="15" t="n">
        <v>46297</v>
      </c>
      <c r="C160" s="4" t="s">
        <v>31</v>
      </c>
      <c r="D160" s="4" t="s">
        <v>159</v>
      </c>
      <c r="E160" s="17" t="s">
        <v>160</v>
      </c>
      <c r="F160" s="11" t="n">
        <v>58</v>
      </c>
      <c r="G160" s="4"/>
      <c r="H160" s="4"/>
      <c r="I160" s="17"/>
      <c r="J160" s="4" t="s">
        <v>78</v>
      </c>
      <c r="K160" s="4" t="s">
        <v>170</v>
      </c>
    </row>
    <row r="161" customFormat="false" ht="15" hidden="false" customHeight="false" outlineLevel="0" collapsed="false">
      <c r="A161" s="4" t="n">
        <v>166</v>
      </c>
      <c r="B161" s="15" t="n">
        <v>46297</v>
      </c>
      <c r="C161" s="4" t="s">
        <v>35</v>
      </c>
      <c r="D161" s="4" t="s">
        <v>148</v>
      </c>
      <c r="E161" s="17" t="s">
        <v>149</v>
      </c>
      <c r="F161" s="11" t="n">
        <v>29</v>
      </c>
      <c r="G161" s="4"/>
      <c r="H161" s="4"/>
      <c r="I161" s="17"/>
      <c r="J161" s="4" t="s">
        <v>78</v>
      </c>
      <c r="K161" s="4"/>
    </row>
    <row r="162" customFormat="false" ht="15" hidden="false" customHeight="false" outlineLevel="0" collapsed="false">
      <c r="A162" s="4" t="n">
        <v>167</v>
      </c>
      <c r="B162" s="15" t="n">
        <v>46297</v>
      </c>
      <c r="C162" s="4" t="s">
        <v>30</v>
      </c>
      <c r="D162" s="4" t="s">
        <v>128</v>
      </c>
      <c r="E162" s="17" t="s">
        <v>129</v>
      </c>
      <c r="F162" s="11" t="n">
        <v>46</v>
      </c>
      <c r="G162" s="4"/>
      <c r="H162" s="4"/>
      <c r="I162" s="17"/>
      <c r="J162" s="4" t="s">
        <v>78</v>
      </c>
      <c r="K162" s="4"/>
    </row>
    <row r="163" customFormat="false" ht="15" hidden="false" customHeight="false" outlineLevel="0" collapsed="false">
      <c r="A163" s="4" t="n">
        <v>168</v>
      </c>
      <c r="B163" s="15" t="n">
        <v>46297</v>
      </c>
      <c r="C163" s="4" t="s">
        <v>31</v>
      </c>
      <c r="D163" s="4" t="s">
        <v>119</v>
      </c>
      <c r="E163" s="17" t="s">
        <v>120</v>
      </c>
      <c r="F163" s="11" t="n">
        <v>36</v>
      </c>
      <c r="G163" s="4"/>
      <c r="H163" s="4"/>
      <c r="I163" s="17" t="s">
        <v>122</v>
      </c>
      <c r="J163" s="4" t="s">
        <v>78</v>
      </c>
      <c r="K163" s="4" t="s">
        <v>119</v>
      </c>
    </row>
    <row r="164" customFormat="false" ht="15" hidden="false" customHeight="false" outlineLevel="0" collapsed="false">
      <c r="A164" s="4" t="n">
        <v>169</v>
      </c>
      <c r="B164" s="15" t="n">
        <v>46298</v>
      </c>
      <c r="C164" s="4" t="s">
        <v>29</v>
      </c>
      <c r="D164" s="4" t="s">
        <v>131</v>
      </c>
      <c r="E164" s="17" t="s">
        <v>132</v>
      </c>
      <c r="F164" s="11" t="n">
        <v>13</v>
      </c>
      <c r="G164" s="4"/>
      <c r="H164" s="4"/>
      <c r="I164" s="17"/>
      <c r="J164" s="4" t="s">
        <v>78</v>
      </c>
      <c r="K164" s="4"/>
    </row>
    <row r="165" customFormat="false" ht="15" hidden="false" customHeight="false" outlineLevel="0" collapsed="false">
      <c r="A165" s="4" t="n">
        <v>170</v>
      </c>
      <c r="B165" s="15" t="n">
        <v>46298</v>
      </c>
      <c r="C165" s="4" t="s">
        <v>35</v>
      </c>
      <c r="D165" s="4" t="s">
        <v>168</v>
      </c>
      <c r="E165" s="17" t="s">
        <v>169</v>
      </c>
      <c r="F165" s="11" t="n">
        <v>120</v>
      </c>
      <c r="G165" s="4"/>
      <c r="H165" s="4"/>
      <c r="I165" s="17"/>
      <c r="J165" s="4" t="s">
        <v>81</v>
      </c>
      <c r="K165" s="4"/>
    </row>
    <row r="166" customFormat="false" ht="15" hidden="false" customHeight="false" outlineLevel="0" collapsed="false">
      <c r="A166" s="4" t="n">
        <v>171</v>
      </c>
      <c r="B166" s="15" t="n">
        <v>46299</v>
      </c>
      <c r="C166" s="4" t="s">
        <v>32</v>
      </c>
      <c r="D166" s="4" t="s">
        <v>144</v>
      </c>
      <c r="E166" s="17" t="s">
        <v>145</v>
      </c>
      <c r="F166" s="11" t="n">
        <v>30</v>
      </c>
      <c r="G166" s="4"/>
      <c r="H166" s="4"/>
      <c r="I166" s="17"/>
      <c r="J166" s="4" t="s">
        <v>78</v>
      </c>
      <c r="K166" s="4"/>
    </row>
    <row r="167" customFormat="false" ht="15" hidden="false" customHeight="false" outlineLevel="0" collapsed="false">
      <c r="A167" s="4" t="n">
        <v>172</v>
      </c>
      <c r="B167" s="15" t="n">
        <v>46299</v>
      </c>
      <c r="C167" s="4" t="s">
        <v>34</v>
      </c>
      <c r="D167" s="4" t="s">
        <v>124</v>
      </c>
      <c r="E167" s="17" t="s">
        <v>125</v>
      </c>
      <c r="F167" s="11" t="n">
        <v>22</v>
      </c>
      <c r="G167" s="4"/>
      <c r="H167" s="4"/>
      <c r="I167" s="17"/>
      <c r="J167" s="4" t="s">
        <v>78</v>
      </c>
      <c r="K167" s="4"/>
    </row>
    <row r="168" customFormat="false" ht="15" hidden="false" customHeight="false" outlineLevel="0" collapsed="false">
      <c r="A168" s="4" t="n">
        <v>173</v>
      </c>
      <c r="B168" s="15" t="n">
        <v>46300</v>
      </c>
      <c r="C168" s="4" t="s">
        <v>29</v>
      </c>
      <c r="D168" s="4" t="s">
        <v>131</v>
      </c>
      <c r="E168" s="17" t="s">
        <v>132</v>
      </c>
      <c r="F168" s="11" t="n">
        <v>24</v>
      </c>
      <c r="G168" s="4"/>
      <c r="H168" s="4"/>
      <c r="I168" s="17"/>
      <c r="J168" s="4" t="s">
        <v>78</v>
      </c>
      <c r="K168" s="4"/>
    </row>
    <row r="169" customFormat="false" ht="15" hidden="false" customHeight="false" outlineLevel="0" collapsed="false">
      <c r="A169" s="4" t="n">
        <v>174</v>
      </c>
      <c r="B169" s="15" t="n">
        <v>46300</v>
      </c>
      <c r="C169" s="4" t="s">
        <v>30</v>
      </c>
      <c r="D169" s="4" t="s">
        <v>156</v>
      </c>
      <c r="E169" s="17" t="s">
        <v>157</v>
      </c>
      <c r="F169" s="11" t="n">
        <v>21</v>
      </c>
      <c r="G169" s="4"/>
      <c r="H169" s="4"/>
      <c r="I169" s="17"/>
      <c r="J169" s="4" t="s">
        <v>78</v>
      </c>
      <c r="K169" s="4"/>
    </row>
    <row r="170" customFormat="false" ht="15" hidden="false" customHeight="false" outlineLevel="0" collapsed="false">
      <c r="A170" s="4" t="n">
        <v>175</v>
      </c>
      <c r="B170" s="15" t="n">
        <v>46301</v>
      </c>
      <c r="C170" s="4" t="s">
        <v>29</v>
      </c>
      <c r="D170" s="4" t="s">
        <v>131</v>
      </c>
      <c r="E170" s="17" t="s">
        <v>132</v>
      </c>
      <c r="F170" s="11" t="n">
        <v>13</v>
      </c>
      <c r="G170" s="4"/>
      <c r="H170" s="4"/>
      <c r="I170" s="17"/>
      <c r="J170" s="4" t="s">
        <v>78</v>
      </c>
      <c r="K170" s="4"/>
    </row>
    <row r="171" customFormat="false" ht="15" hidden="false" customHeight="false" outlineLevel="0" collapsed="false">
      <c r="A171" s="4" t="n">
        <v>176</v>
      </c>
      <c r="B171" s="15" t="n">
        <v>46301</v>
      </c>
      <c r="C171" s="4" t="s">
        <v>31</v>
      </c>
      <c r="D171" s="4" t="s">
        <v>136</v>
      </c>
      <c r="E171" s="17" t="s">
        <v>137</v>
      </c>
      <c r="F171" s="11" t="n">
        <v>185</v>
      </c>
      <c r="G171" s="4"/>
      <c r="H171" s="4"/>
      <c r="I171" s="17" t="s">
        <v>122</v>
      </c>
      <c r="J171" s="4" t="s">
        <v>78</v>
      </c>
      <c r="K171" s="4" t="s">
        <v>136</v>
      </c>
    </row>
    <row r="172" customFormat="false" ht="15" hidden="false" customHeight="false" outlineLevel="0" collapsed="false">
      <c r="A172" s="4" t="n">
        <v>177</v>
      </c>
      <c r="B172" s="15" t="n">
        <v>46302</v>
      </c>
      <c r="C172" s="4" t="s">
        <v>29</v>
      </c>
      <c r="D172" s="4" t="s">
        <v>116</v>
      </c>
      <c r="E172" s="17" t="s">
        <v>117</v>
      </c>
      <c r="F172" s="11" t="n">
        <v>19</v>
      </c>
      <c r="G172" s="4"/>
      <c r="H172" s="4"/>
      <c r="I172" s="17"/>
      <c r="J172" s="4" t="s">
        <v>78</v>
      </c>
      <c r="K172" s="4"/>
    </row>
    <row r="173" customFormat="false" ht="15" hidden="false" customHeight="false" outlineLevel="0" collapsed="false">
      <c r="A173" s="4" t="n">
        <v>178</v>
      </c>
      <c r="B173" s="15" t="n">
        <v>46302</v>
      </c>
      <c r="C173" s="4" t="s">
        <v>29</v>
      </c>
      <c r="D173" s="4" t="s">
        <v>131</v>
      </c>
      <c r="E173" s="17" t="s">
        <v>132</v>
      </c>
      <c r="F173" s="11" t="n">
        <v>24</v>
      </c>
      <c r="G173" s="4"/>
      <c r="H173" s="4"/>
      <c r="I173" s="17"/>
      <c r="J173" s="4" t="s">
        <v>78</v>
      </c>
      <c r="K173" s="4"/>
    </row>
    <row r="174" customFormat="false" ht="15" hidden="false" customHeight="false" outlineLevel="0" collapsed="false">
      <c r="A174" s="4" t="n">
        <v>179</v>
      </c>
      <c r="B174" s="15" t="n">
        <v>46302</v>
      </c>
      <c r="C174" s="4" t="s">
        <v>31</v>
      </c>
      <c r="D174" s="4" t="s">
        <v>136</v>
      </c>
      <c r="E174" s="17" t="s">
        <v>137</v>
      </c>
      <c r="F174" s="11" t="n">
        <v>144</v>
      </c>
      <c r="G174" s="4"/>
      <c r="H174" s="4"/>
      <c r="I174" s="17"/>
      <c r="J174" s="4" t="s">
        <v>78</v>
      </c>
      <c r="K174" s="4" t="s">
        <v>136</v>
      </c>
    </row>
    <row r="175" customFormat="false" ht="15" hidden="false" customHeight="false" outlineLevel="0" collapsed="false">
      <c r="A175" s="4" t="n">
        <v>180</v>
      </c>
      <c r="B175" s="15" t="n">
        <v>46303</v>
      </c>
      <c r="C175" s="4" t="s">
        <v>31</v>
      </c>
      <c r="D175" s="4" t="s">
        <v>159</v>
      </c>
      <c r="E175" s="17" t="s">
        <v>160</v>
      </c>
      <c r="F175" s="11" t="n">
        <v>71</v>
      </c>
      <c r="G175" s="4"/>
      <c r="H175" s="4"/>
      <c r="I175" s="17" t="s">
        <v>122</v>
      </c>
      <c r="J175" s="4" t="s">
        <v>78</v>
      </c>
      <c r="K175" s="4" t="s">
        <v>170</v>
      </c>
    </row>
    <row r="176" customFormat="false" ht="15" hidden="false" customHeight="false" outlineLevel="0" collapsed="false">
      <c r="A176" s="4" t="n">
        <v>181</v>
      </c>
      <c r="B176" s="15" t="n">
        <v>46305</v>
      </c>
      <c r="C176" s="4" t="s">
        <v>29</v>
      </c>
      <c r="D176" s="4" t="s">
        <v>116</v>
      </c>
      <c r="E176" s="17" t="s">
        <v>117</v>
      </c>
      <c r="F176" s="11" t="n">
        <v>16</v>
      </c>
      <c r="G176" s="4"/>
      <c r="H176" s="4"/>
      <c r="I176" s="17"/>
      <c r="J176" s="4" t="s">
        <v>78</v>
      </c>
      <c r="K176" s="4"/>
    </row>
    <row r="177" customFormat="false" ht="15" hidden="false" customHeight="false" outlineLevel="0" collapsed="false">
      <c r="A177" s="4" t="n">
        <v>182</v>
      </c>
      <c r="B177" s="15" t="n">
        <v>46305</v>
      </c>
      <c r="C177" s="4" t="s">
        <v>31</v>
      </c>
      <c r="D177" s="4" t="s">
        <v>136</v>
      </c>
      <c r="E177" s="17" t="s">
        <v>137</v>
      </c>
      <c r="F177" s="11" t="n">
        <v>197</v>
      </c>
      <c r="G177" s="4"/>
      <c r="H177" s="4"/>
      <c r="I177" s="17"/>
      <c r="J177" s="4" t="s">
        <v>78</v>
      </c>
      <c r="K177" s="4" t="s">
        <v>136</v>
      </c>
    </row>
    <row r="178" customFormat="false" ht="15" hidden="false" customHeight="false" outlineLevel="0" collapsed="false">
      <c r="A178" s="4" t="n">
        <v>183</v>
      </c>
      <c r="B178" s="15" t="n">
        <v>46306</v>
      </c>
      <c r="C178" s="4" t="s">
        <v>31</v>
      </c>
      <c r="D178" s="4" t="s">
        <v>159</v>
      </c>
      <c r="E178" s="17" t="s">
        <v>160</v>
      </c>
      <c r="F178" s="11" t="n">
        <v>74</v>
      </c>
      <c r="G178" s="4"/>
      <c r="H178" s="4"/>
      <c r="I178" s="17"/>
      <c r="J178" s="4" t="s">
        <v>78</v>
      </c>
      <c r="K178" s="4" t="s">
        <v>170</v>
      </c>
    </row>
    <row r="179" customFormat="false" ht="15" hidden="false" customHeight="false" outlineLevel="0" collapsed="false">
      <c r="A179" s="4" t="n">
        <v>184</v>
      </c>
      <c r="B179" s="15" t="n">
        <v>46306</v>
      </c>
      <c r="C179" s="4" t="s">
        <v>33</v>
      </c>
      <c r="D179" s="4" t="s">
        <v>151</v>
      </c>
      <c r="E179" s="17" t="s">
        <v>152</v>
      </c>
      <c r="F179" s="11" t="n">
        <v>18</v>
      </c>
      <c r="G179" s="4"/>
      <c r="H179" s="4"/>
      <c r="I179" s="17"/>
      <c r="J179" s="4" t="s">
        <v>78</v>
      </c>
      <c r="K179" s="4"/>
    </row>
    <row r="180" customFormat="false" ht="15" hidden="false" customHeight="false" outlineLevel="0" collapsed="false">
      <c r="A180" s="4" t="n">
        <v>185</v>
      </c>
      <c r="B180" s="15" t="n">
        <v>46306</v>
      </c>
      <c r="C180" s="4" t="s">
        <v>35</v>
      </c>
      <c r="D180" s="4" t="s">
        <v>168</v>
      </c>
      <c r="E180" s="17" t="s">
        <v>169</v>
      </c>
      <c r="F180" s="11" t="n">
        <v>60</v>
      </c>
      <c r="G180" s="4"/>
      <c r="H180" s="4"/>
      <c r="I180" s="17"/>
      <c r="J180" s="4" t="s">
        <v>81</v>
      </c>
      <c r="K180" s="4"/>
    </row>
    <row r="181" customFormat="false" ht="15" hidden="false" customHeight="false" outlineLevel="0" collapsed="false">
      <c r="A181" s="4" t="n">
        <v>186</v>
      </c>
      <c r="B181" s="15" t="n">
        <v>46307</v>
      </c>
      <c r="C181" s="4" t="s">
        <v>31</v>
      </c>
      <c r="D181" s="4" t="s">
        <v>136</v>
      </c>
      <c r="E181" s="17" t="s">
        <v>137</v>
      </c>
      <c r="F181" s="11" t="n">
        <v>156</v>
      </c>
      <c r="G181" s="4"/>
      <c r="H181" s="4"/>
      <c r="I181" s="17"/>
      <c r="J181" s="4" t="s">
        <v>78</v>
      </c>
      <c r="K181" s="4" t="s">
        <v>136</v>
      </c>
    </row>
    <row r="182" customFormat="false" ht="15" hidden="false" customHeight="false" outlineLevel="0" collapsed="false">
      <c r="A182" s="4" t="n">
        <v>187</v>
      </c>
      <c r="B182" s="15" t="n">
        <v>46307</v>
      </c>
      <c r="C182" s="4" t="s">
        <v>29</v>
      </c>
      <c r="D182" s="4" t="s">
        <v>116</v>
      </c>
      <c r="E182" s="17" t="s">
        <v>117</v>
      </c>
      <c r="F182" s="11" t="n">
        <v>14</v>
      </c>
      <c r="G182" s="4"/>
      <c r="H182" s="4"/>
      <c r="I182" s="17"/>
      <c r="J182" s="4" t="s">
        <v>78</v>
      </c>
      <c r="K182" s="4"/>
    </row>
    <row r="183" customFormat="false" ht="15" hidden="false" customHeight="false" outlineLevel="0" collapsed="false">
      <c r="A183" s="4" t="n">
        <v>188</v>
      </c>
      <c r="B183" s="15" t="n">
        <v>46307</v>
      </c>
      <c r="C183" s="4" t="s">
        <v>34</v>
      </c>
      <c r="D183" s="4" t="s">
        <v>124</v>
      </c>
      <c r="E183" s="17" t="s">
        <v>125</v>
      </c>
      <c r="F183" s="11" t="n">
        <v>27</v>
      </c>
      <c r="G183" s="4"/>
      <c r="H183" s="4"/>
      <c r="I183" s="17"/>
      <c r="J183" s="4" t="s">
        <v>78</v>
      </c>
      <c r="K183" s="4"/>
    </row>
    <row r="184" customFormat="false" ht="15" hidden="false" customHeight="false" outlineLevel="0" collapsed="false">
      <c r="A184" s="4" t="n">
        <v>189</v>
      </c>
      <c r="B184" s="15" t="n">
        <v>46308</v>
      </c>
      <c r="C184" s="4" t="s">
        <v>34</v>
      </c>
      <c r="D184" s="4" t="s">
        <v>124</v>
      </c>
      <c r="E184" s="17" t="s">
        <v>125</v>
      </c>
      <c r="F184" s="11" t="n">
        <v>14</v>
      </c>
      <c r="G184" s="4"/>
      <c r="H184" s="4"/>
      <c r="I184" s="17"/>
      <c r="J184" s="4" t="s">
        <v>78</v>
      </c>
      <c r="K184" s="4"/>
    </row>
    <row r="185" customFormat="false" ht="15" hidden="false" customHeight="false" outlineLevel="0" collapsed="false">
      <c r="A185" s="4" t="n">
        <v>190</v>
      </c>
      <c r="B185" s="15" t="n">
        <v>46308</v>
      </c>
      <c r="C185" s="4" t="s">
        <v>29</v>
      </c>
      <c r="D185" s="4" t="s">
        <v>116</v>
      </c>
      <c r="E185" s="17" t="s">
        <v>117</v>
      </c>
      <c r="F185" s="11" t="n">
        <v>20</v>
      </c>
      <c r="G185" s="4"/>
      <c r="H185" s="4"/>
      <c r="I185" s="17"/>
      <c r="J185" s="4" t="s">
        <v>78</v>
      </c>
      <c r="K185" s="4"/>
    </row>
    <row r="186" customFormat="false" ht="15" hidden="false" customHeight="false" outlineLevel="0" collapsed="false">
      <c r="A186" s="4" t="n">
        <v>191</v>
      </c>
      <c r="B186" s="15" t="n">
        <v>46310</v>
      </c>
      <c r="C186" s="4" t="s">
        <v>31</v>
      </c>
      <c r="D186" s="4" t="s">
        <v>159</v>
      </c>
      <c r="E186" s="17" t="s">
        <v>160</v>
      </c>
      <c r="F186" s="11" t="n">
        <v>82</v>
      </c>
      <c r="G186" s="4"/>
      <c r="H186" s="4"/>
      <c r="I186" s="17" t="s">
        <v>122</v>
      </c>
      <c r="J186" s="4" t="s">
        <v>78</v>
      </c>
      <c r="K186" s="4" t="s">
        <v>170</v>
      </c>
    </row>
    <row r="187" customFormat="false" ht="15" hidden="false" customHeight="false" outlineLevel="0" collapsed="false">
      <c r="A187" s="4" t="n">
        <v>192</v>
      </c>
      <c r="B187" s="15" t="n">
        <v>46310</v>
      </c>
      <c r="C187" s="4" t="s">
        <v>31</v>
      </c>
      <c r="D187" s="4" t="s">
        <v>136</v>
      </c>
      <c r="E187" s="17" t="s">
        <v>137</v>
      </c>
      <c r="F187" s="11" t="n">
        <v>143</v>
      </c>
      <c r="G187" s="4"/>
      <c r="H187" s="4"/>
      <c r="I187" s="17"/>
      <c r="J187" s="4" t="s">
        <v>78</v>
      </c>
      <c r="K187" s="4" t="s">
        <v>136</v>
      </c>
    </row>
    <row r="188" customFormat="false" ht="15" hidden="false" customHeight="false" outlineLevel="0" collapsed="false">
      <c r="A188" s="4" t="n">
        <v>193</v>
      </c>
      <c r="B188" s="15" t="n">
        <v>46311</v>
      </c>
      <c r="C188" s="4" t="s">
        <v>34</v>
      </c>
      <c r="D188" s="4" t="s">
        <v>124</v>
      </c>
      <c r="E188" s="17" t="s">
        <v>125</v>
      </c>
      <c r="F188" s="11" t="n">
        <v>26</v>
      </c>
      <c r="G188" s="4"/>
      <c r="H188" s="4"/>
      <c r="I188" s="17"/>
      <c r="J188" s="4" t="s">
        <v>78</v>
      </c>
      <c r="K188" s="4"/>
    </row>
    <row r="189" customFormat="false" ht="15" hidden="false" customHeight="false" outlineLevel="0" collapsed="false">
      <c r="A189" s="4" t="n">
        <v>194</v>
      </c>
      <c r="B189" s="15" t="n">
        <v>46311</v>
      </c>
      <c r="C189" s="4" t="s">
        <v>29</v>
      </c>
      <c r="D189" s="4" t="s">
        <v>131</v>
      </c>
      <c r="E189" s="17" t="s">
        <v>132</v>
      </c>
      <c r="F189" s="11" t="n">
        <v>15</v>
      </c>
      <c r="G189" s="4"/>
      <c r="H189" s="4"/>
      <c r="I189" s="17"/>
      <c r="J189" s="4" t="s">
        <v>78</v>
      </c>
      <c r="K189" s="4"/>
    </row>
    <row r="190" customFormat="false" ht="15" hidden="false" customHeight="false" outlineLevel="0" collapsed="false">
      <c r="A190" s="4" t="n">
        <v>195</v>
      </c>
      <c r="B190" s="15" t="n">
        <v>46311</v>
      </c>
      <c r="C190" s="4" t="s">
        <v>31</v>
      </c>
      <c r="D190" s="4" t="s">
        <v>159</v>
      </c>
      <c r="E190" s="17" t="s">
        <v>160</v>
      </c>
      <c r="F190" s="11" t="n">
        <v>61</v>
      </c>
      <c r="G190" s="4"/>
      <c r="H190" s="4"/>
      <c r="I190" s="17" t="s">
        <v>138</v>
      </c>
      <c r="J190" s="4" t="s">
        <v>78</v>
      </c>
      <c r="K190" s="4" t="s">
        <v>170</v>
      </c>
    </row>
  </sheetData>
  <autoFilter ref="A1:K1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80"/>
  </cols>
  <sheetData>
    <row r="1" customFormat="false" ht="30" hidden="false" customHeight="true" outlineLevel="0" collapsed="false">
      <c r="A1" s="9" t="s">
        <v>51</v>
      </c>
      <c r="B1" s="9" t="s">
        <v>171</v>
      </c>
      <c r="C1" s="9" t="s">
        <v>25</v>
      </c>
      <c r="D1" s="9" t="s">
        <v>172</v>
      </c>
    </row>
    <row r="2" customFormat="false" ht="15" hidden="false" customHeight="false" outlineLevel="0" collapsed="false">
      <c r="A2" s="15" t="n">
        <v>46222</v>
      </c>
      <c r="B2" s="4" t="s">
        <v>173</v>
      </c>
      <c r="C2" s="4" t="s">
        <v>31</v>
      </c>
      <c r="D2" s="17" t="s">
        <v>174</v>
      </c>
    </row>
    <row r="3" customFormat="false" ht="15" hidden="false" customHeight="false" outlineLevel="0" collapsed="false">
      <c r="A3" s="15" t="n">
        <v>46223</v>
      </c>
      <c r="B3" s="4" t="s">
        <v>175</v>
      </c>
      <c r="C3" s="4" t="s">
        <v>29</v>
      </c>
      <c r="D3" s="17" t="s">
        <v>176</v>
      </c>
    </row>
    <row r="4" customFormat="false" ht="15" hidden="false" customHeight="false" outlineLevel="0" collapsed="false">
      <c r="A4" s="15" t="n">
        <v>46223</v>
      </c>
      <c r="B4" s="4" t="s">
        <v>177</v>
      </c>
      <c r="C4" s="4"/>
      <c r="D4" s="17" t="s">
        <v>178</v>
      </c>
    </row>
    <row r="5" customFormat="false" ht="15" hidden="false" customHeight="false" outlineLevel="0" collapsed="false">
      <c r="A5" s="15" t="n">
        <v>46224</v>
      </c>
      <c r="B5" s="4" t="s">
        <v>173</v>
      </c>
      <c r="C5" s="4" t="s">
        <v>31</v>
      </c>
      <c r="D5" s="17" t="s">
        <v>179</v>
      </c>
    </row>
    <row r="6" customFormat="false" ht="15" hidden="false" customHeight="false" outlineLevel="0" collapsed="false">
      <c r="A6" s="15" t="n">
        <v>46226</v>
      </c>
      <c r="B6" s="4" t="s">
        <v>175</v>
      </c>
      <c r="C6" s="4" t="s">
        <v>29</v>
      </c>
      <c r="D6" s="17" t="s">
        <v>180</v>
      </c>
    </row>
    <row r="7" customFormat="false" ht="15" hidden="false" customHeight="false" outlineLevel="0" collapsed="false">
      <c r="A7" s="15" t="n">
        <v>46226</v>
      </c>
      <c r="B7" s="4" t="s">
        <v>177</v>
      </c>
      <c r="C7" s="4"/>
      <c r="D7" s="17" t="s">
        <v>178</v>
      </c>
    </row>
    <row r="8" customFormat="false" ht="15" hidden="false" customHeight="false" outlineLevel="0" collapsed="false">
      <c r="A8" s="15" t="n">
        <v>46228</v>
      </c>
      <c r="B8" s="4" t="s">
        <v>173</v>
      </c>
      <c r="C8" s="4" t="s">
        <v>31</v>
      </c>
      <c r="D8" s="17" t="s">
        <v>181</v>
      </c>
    </row>
    <row r="9" customFormat="false" ht="15" hidden="false" customHeight="false" outlineLevel="0" collapsed="false">
      <c r="A9" s="15" t="n">
        <v>46228</v>
      </c>
      <c r="B9" s="4" t="s">
        <v>177</v>
      </c>
      <c r="C9" s="4"/>
      <c r="D9" s="17" t="s">
        <v>178</v>
      </c>
    </row>
    <row r="10" customFormat="false" ht="15" hidden="false" customHeight="false" outlineLevel="0" collapsed="false">
      <c r="A10" s="15" t="n">
        <v>46230</v>
      </c>
      <c r="B10" s="4" t="s">
        <v>177</v>
      </c>
      <c r="C10" s="4"/>
      <c r="D10" s="17" t="s">
        <v>178</v>
      </c>
    </row>
    <row r="11" customFormat="false" ht="15" hidden="false" customHeight="false" outlineLevel="0" collapsed="false">
      <c r="A11" s="15" t="n">
        <v>46231</v>
      </c>
      <c r="B11" s="4" t="s">
        <v>173</v>
      </c>
      <c r="C11" s="4" t="s">
        <v>31</v>
      </c>
      <c r="D11" s="17" t="s">
        <v>174</v>
      </c>
    </row>
    <row r="12" customFormat="false" ht="15" hidden="false" customHeight="false" outlineLevel="0" collapsed="false">
      <c r="A12" s="15" t="n">
        <v>46231</v>
      </c>
      <c r="B12" s="4" t="s">
        <v>182</v>
      </c>
      <c r="C12" s="4"/>
      <c r="D12" s="17" t="s">
        <v>83</v>
      </c>
    </row>
    <row r="13" customFormat="false" ht="15" hidden="false" customHeight="false" outlineLevel="0" collapsed="false">
      <c r="A13" s="15" t="n">
        <v>46235</v>
      </c>
      <c r="B13" s="4" t="s">
        <v>182</v>
      </c>
      <c r="C13" s="4"/>
      <c r="D13" s="17" t="s">
        <v>84</v>
      </c>
    </row>
    <row r="14" customFormat="false" ht="15" hidden="false" customHeight="false" outlineLevel="0" collapsed="false">
      <c r="A14" s="15" t="n">
        <v>46235</v>
      </c>
      <c r="B14" s="4" t="s">
        <v>177</v>
      </c>
      <c r="C14" s="4"/>
      <c r="D14" s="17" t="s">
        <v>178</v>
      </c>
    </row>
    <row r="15" customFormat="false" ht="15" hidden="false" customHeight="false" outlineLevel="0" collapsed="false">
      <c r="A15" s="15" t="n">
        <v>46238</v>
      </c>
      <c r="B15" s="4" t="s">
        <v>173</v>
      </c>
      <c r="C15" s="4" t="s">
        <v>31</v>
      </c>
      <c r="D15" s="17" t="s">
        <v>183</v>
      </c>
    </row>
    <row r="16" customFormat="false" ht="15" hidden="false" customHeight="false" outlineLevel="0" collapsed="false">
      <c r="A16" s="15" t="n">
        <v>46239</v>
      </c>
      <c r="B16" s="4" t="s">
        <v>173</v>
      </c>
      <c r="C16" s="4" t="s">
        <v>31</v>
      </c>
      <c r="D16" s="17" t="s">
        <v>181</v>
      </c>
    </row>
    <row r="17" customFormat="false" ht="15" hidden="false" customHeight="false" outlineLevel="0" collapsed="false">
      <c r="A17" s="15" t="n">
        <v>46241</v>
      </c>
      <c r="B17" s="4" t="s">
        <v>177</v>
      </c>
      <c r="C17" s="4"/>
      <c r="D17" s="17" t="s">
        <v>178</v>
      </c>
    </row>
    <row r="18" customFormat="false" ht="15" hidden="false" customHeight="false" outlineLevel="0" collapsed="false">
      <c r="A18" s="15" t="n">
        <v>46242</v>
      </c>
      <c r="B18" s="4" t="s">
        <v>175</v>
      </c>
      <c r="C18" s="4" t="s">
        <v>29</v>
      </c>
      <c r="D18" s="17" t="s">
        <v>180</v>
      </c>
    </row>
    <row r="19" customFormat="false" ht="15" hidden="false" customHeight="false" outlineLevel="0" collapsed="false">
      <c r="A19" s="15" t="n">
        <v>46242</v>
      </c>
      <c r="B19" s="4" t="s">
        <v>182</v>
      </c>
      <c r="C19" s="4"/>
      <c r="D19" s="17" t="s">
        <v>85</v>
      </c>
    </row>
    <row r="20" customFormat="false" ht="15" hidden="false" customHeight="false" outlineLevel="0" collapsed="false">
      <c r="A20" s="15" t="n">
        <v>46243</v>
      </c>
      <c r="B20" s="4" t="s">
        <v>173</v>
      </c>
      <c r="C20" s="4" t="s">
        <v>31</v>
      </c>
      <c r="D20" s="17" t="s">
        <v>179</v>
      </c>
    </row>
    <row r="21" customFormat="false" ht="15" hidden="false" customHeight="false" outlineLevel="0" collapsed="false">
      <c r="A21" s="15" t="n">
        <v>46243</v>
      </c>
      <c r="B21" s="4" t="s">
        <v>175</v>
      </c>
      <c r="C21" s="4" t="s">
        <v>29</v>
      </c>
      <c r="D21" s="17" t="s">
        <v>184</v>
      </c>
    </row>
    <row r="22" customFormat="false" ht="15" hidden="false" customHeight="false" outlineLevel="0" collapsed="false">
      <c r="A22" s="15" t="n">
        <v>46243</v>
      </c>
      <c r="B22" s="4" t="s">
        <v>177</v>
      </c>
      <c r="C22" s="4"/>
      <c r="D22" s="17" t="s">
        <v>178</v>
      </c>
    </row>
    <row r="23" customFormat="false" ht="15" hidden="false" customHeight="false" outlineLevel="0" collapsed="false">
      <c r="A23" s="15" t="n">
        <v>46244</v>
      </c>
      <c r="B23" s="4" t="s">
        <v>175</v>
      </c>
      <c r="C23" s="4" t="s">
        <v>29</v>
      </c>
      <c r="D23" s="17" t="s">
        <v>184</v>
      </c>
    </row>
    <row r="24" customFormat="false" ht="15" hidden="false" customHeight="false" outlineLevel="0" collapsed="false">
      <c r="A24" s="15" t="n">
        <v>46245</v>
      </c>
      <c r="B24" s="4" t="s">
        <v>175</v>
      </c>
      <c r="C24" s="4" t="s">
        <v>29</v>
      </c>
      <c r="D24" s="17" t="s">
        <v>176</v>
      </c>
    </row>
    <row r="25" customFormat="false" ht="15" hidden="false" customHeight="false" outlineLevel="0" collapsed="false">
      <c r="A25" s="15" t="n">
        <v>46248</v>
      </c>
      <c r="B25" s="4" t="s">
        <v>175</v>
      </c>
      <c r="C25" s="4" t="s">
        <v>29</v>
      </c>
      <c r="D25" s="17" t="s">
        <v>176</v>
      </c>
    </row>
    <row r="26" customFormat="false" ht="15" hidden="false" customHeight="false" outlineLevel="0" collapsed="false">
      <c r="A26" s="15" t="n">
        <v>46249</v>
      </c>
      <c r="B26" s="4" t="s">
        <v>173</v>
      </c>
      <c r="C26" s="4" t="s">
        <v>31</v>
      </c>
      <c r="D26" s="17" t="s">
        <v>174</v>
      </c>
    </row>
    <row r="27" customFormat="false" ht="15" hidden="false" customHeight="false" outlineLevel="0" collapsed="false">
      <c r="A27" s="15" t="n">
        <v>46250</v>
      </c>
      <c r="B27" s="4" t="s">
        <v>177</v>
      </c>
      <c r="C27" s="4"/>
      <c r="D27" s="17" t="s">
        <v>178</v>
      </c>
    </row>
    <row r="28" customFormat="false" ht="15" hidden="false" customHeight="false" outlineLevel="0" collapsed="false">
      <c r="A28" s="15" t="n">
        <v>46251</v>
      </c>
      <c r="B28" s="4" t="s">
        <v>173</v>
      </c>
      <c r="C28" s="4" t="s">
        <v>31</v>
      </c>
      <c r="D28" s="17" t="s">
        <v>185</v>
      </c>
    </row>
    <row r="29" customFormat="false" ht="15" hidden="false" customHeight="false" outlineLevel="0" collapsed="false">
      <c r="A29" s="15" t="n">
        <v>46252</v>
      </c>
      <c r="B29" s="4" t="s">
        <v>173</v>
      </c>
      <c r="C29" s="4" t="s">
        <v>31</v>
      </c>
      <c r="D29" s="17" t="s">
        <v>185</v>
      </c>
    </row>
    <row r="30" customFormat="false" ht="15" hidden="false" customHeight="false" outlineLevel="0" collapsed="false">
      <c r="A30" s="15" t="n">
        <v>46253</v>
      </c>
      <c r="B30" s="4" t="s">
        <v>177</v>
      </c>
      <c r="C30" s="4"/>
      <c r="D30" s="17" t="s">
        <v>178</v>
      </c>
    </row>
    <row r="31" customFormat="false" ht="15" hidden="false" customHeight="false" outlineLevel="0" collapsed="false">
      <c r="A31" s="15" t="n">
        <v>46254</v>
      </c>
      <c r="B31" s="4" t="s">
        <v>182</v>
      </c>
      <c r="C31" s="4"/>
      <c r="D31" s="17" t="s">
        <v>86</v>
      </c>
    </row>
    <row r="32" customFormat="false" ht="15" hidden="false" customHeight="false" outlineLevel="0" collapsed="false">
      <c r="A32" s="15" t="n">
        <v>46255</v>
      </c>
      <c r="B32" s="4" t="s">
        <v>177</v>
      </c>
      <c r="C32" s="4"/>
      <c r="D32" s="17" t="s">
        <v>178</v>
      </c>
    </row>
    <row r="33" customFormat="false" ht="15" hidden="false" customHeight="false" outlineLevel="0" collapsed="false">
      <c r="A33" s="15" t="n">
        <v>46256</v>
      </c>
      <c r="B33" s="4" t="s">
        <v>182</v>
      </c>
      <c r="C33" s="4"/>
      <c r="D33" s="17" t="s">
        <v>84</v>
      </c>
    </row>
    <row r="34" customFormat="false" ht="15" hidden="false" customHeight="false" outlineLevel="0" collapsed="false">
      <c r="A34" s="15" t="n">
        <v>46257</v>
      </c>
      <c r="B34" s="4" t="s">
        <v>175</v>
      </c>
      <c r="C34" s="4" t="s">
        <v>29</v>
      </c>
      <c r="D34" s="17" t="s">
        <v>184</v>
      </c>
    </row>
    <row r="35" customFormat="false" ht="15" hidden="false" customHeight="false" outlineLevel="0" collapsed="false">
      <c r="A35" s="15" t="n">
        <v>46257</v>
      </c>
      <c r="B35" s="4" t="s">
        <v>177</v>
      </c>
      <c r="C35" s="4"/>
      <c r="D35" s="17" t="s">
        <v>178</v>
      </c>
    </row>
    <row r="36" customFormat="false" ht="15" hidden="false" customHeight="false" outlineLevel="0" collapsed="false">
      <c r="A36" s="15" t="n">
        <v>46258</v>
      </c>
      <c r="B36" s="4" t="s">
        <v>177</v>
      </c>
      <c r="C36" s="4"/>
      <c r="D36" s="17" t="s">
        <v>178</v>
      </c>
    </row>
    <row r="37" customFormat="false" ht="15" hidden="false" customHeight="false" outlineLevel="0" collapsed="false">
      <c r="A37" s="15" t="n">
        <v>46259</v>
      </c>
      <c r="B37" s="4" t="s">
        <v>173</v>
      </c>
      <c r="C37" s="4" t="s">
        <v>31</v>
      </c>
      <c r="D37" s="17" t="s">
        <v>183</v>
      </c>
    </row>
    <row r="38" customFormat="false" ht="15" hidden="false" customHeight="false" outlineLevel="0" collapsed="false">
      <c r="A38" s="15" t="n">
        <v>46260</v>
      </c>
      <c r="B38" s="4" t="s">
        <v>175</v>
      </c>
      <c r="C38" s="4" t="s">
        <v>29</v>
      </c>
      <c r="D38" s="17" t="s">
        <v>184</v>
      </c>
    </row>
    <row r="39" customFormat="false" ht="15" hidden="false" customHeight="false" outlineLevel="0" collapsed="false">
      <c r="A39" s="15" t="n">
        <v>46261</v>
      </c>
      <c r="B39" s="4" t="s">
        <v>173</v>
      </c>
      <c r="C39" s="4" t="s">
        <v>31</v>
      </c>
      <c r="D39" s="17" t="s">
        <v>174</v>
      </c>
    </row>
    <row r="40" customFormat="false" ht="15" hidden="false" customHeight="false" outlineLevel="0" collapsed="false">
      <c r="A40" s="15" t="n">
        <v>46261</v>
      </c>
      <c r="B40" s="4" t="s">
        <v>175</v>
      </c>
      <c r="C40" s="4" t="s">
        <v>29</v>
      </c>
      <c r="D40" s="17" t="s">
        <v>176</v>
      </c>
    </row>
    <row r="41" customFormat="false" ht="15" hidden="false" customHeight="false" outlineLevel="0" collapsed="false">
      <c r="A41" s="15" t="n">
        <v>46261</v>
      </c>
      <c r="B41" s="4" t="s">
        <v>177</v>
      </c>
      <c r="C41" s="4"/>
      <c r="D41" s="17" t="s">
        <v>178</v>
      </c>
    </row>
    <row r="42" customFormat="false" ht="15" hidden="false" customHeight="false" outlineLevel="0" collapsed="false">
      <c r="A42" s="15" t="n">
        <v>46266</v>
      </c>
      <c r="B42" s="4" t="s">
        <v>173</v>
      </c>
      <c r="C42" s="4" t="s">
        <v>31</v>
      </c>
      <c r="D42" s="17" t="s">
        <v>185</v>
      </c>
    </row>
    <row r="43" customFormat="false" ht="15" hidden="false" customHeight="false" outlineLevel="0" collapsed="false">
      <c r="A43" s="15" t="n">
        <v>46268</v>
      </c>
      <c r="B43" s="4" t="s">
        <v>173</v>
      </c>
      <c r="C43" s="4" t="s">
        <v>31</v>
      </c>
      <c r="D43" s="17" t="s">
        <v>183</v>
      </c>
    </row>
    <row r="44" customFormat="false" ht="15" hidden="false" customHeight="false" outlineLevel="0" collapsed="false">
      <c r="A44" s="15" t="n">
        <v>46268</v>
      </c>
      <c r="B44" s="4" t="s">
        <v>182</v>
      </c>
      <c r="C44" s="4"/>
      <c r="D44" s="17" t="s">
        <v>85</v>
      </c>
    </row>
    <row r="45" customFormat="false" ht="15" hidden="false" customHeight="false" outlineLevel="0" collapsed="false">
      <c r="A45" s="15" t="n">
        <v>46269</v>
      </c>
      <c r="B45" s="4" t="s">
        <v>175</v>
      </c>
      <c r="C45" s="4" t="s">
        <v>29</v>
      </c>
      <c r="D45" s="17" t="s">
        <v>180</v>
      </c>
    </row>
    <row r="46" customFormat="false" ht="15" hidden="false" customHeight="false" outlineLevel="0" collapsed="false">
      <c r="A46" s="15" t="n">
        <v>46270</v>
      </c>
      <c r="B46" s="4" t="s">
        <v>182</v>
      </c>
      <c r="C46" s="4"/>
      <c r="D46" s="17" t="s">
        <v>86</v>
      </c>
    </row>
    <row r="47" customFormat="false" ht="15" hidden="false" customHeight="false" outlineLevel="0" collapsed="false">
      <c r="A47" s="15" t="n">
        <v>46271</v>
      </c>
      <c r="B47" s="4" t="s">
        <v>182</v>
      </c>
      <c r="C47" s="4"/>
      <c r="D47" s="17" t="s">
        <v>85</v>
      </c>
    </row>
    <row r="48" customFormat="false" ht="15" hidden="false" customHeight="false" outlineLevel="0" collapsed="false">
      <c r="A48" s="15" t="n">
        <v>46273</v>
      </c>
      <c r="B48" s="4" t="s">
        <v>173</v>
      </c>
      <c r="C48" s="4" t="s">
        <v>31</v>
      </c>
      <c r="D48" s="17" t="s">
        <v>183</v>
      </c>
    </row>
    <row r="49" customFormat="false" ht="15" hidden="false" customHeight="false" outlineLevel="0" collapsed="false">
      <c r="A49" s="15" t="n">
        <v>46273</v>
      </c>
      <c r="B49" s="4" t="s">
        <v>177</v>
      </c>
      <c r="C49" s="4"/>
      <c r="D49" s="17" t="s">
        <v>178</v>
      </c>
    </row>
    <row r="50" customFormat="false" ht="15" hidden="false" customHeight="false" outlineLevel="0" collapsed="false">
      <c r="A50" s="15" t="n">
        <v>46275</v>
      </c>
      <c r="B50" s="4" t="s">
        <v>182</v>
      </c>
      <c r="C50" s="4"/>
      <c r="D50" s="17" t="s">
        <v>85</v>
      </c>
    </row>
    <row r="51" customFormat="false" ht="15" hidden="false" customHeight="false" outlineLevel="0" collapsed="false">
      <c r="A51" s="15" t="n">
        <v>46276</v>
      </c>
      <c r="B51" s="4" t="s">
        <v>175</v>
      </c>
      <c r="C51" s="4" t="s">
        <v>29</v>
      </c>
      <c r="D51" s="17" t="s">
        <v>180</v>
      </c>
    </row>
    <row r="52" customFormat="false" ht="15" hidden="false" customHeight="false" outlineLevel="0" collapsed="false">
      <c r="A52" s="15" t="n">
        <v>46278</v>
      </c>
      <c r="B52" s="4" t="s">
        <v>177</v>
      </c>
      <c r="C52" s="4"/>
      <c r="D52" s="17" t="s">
        <v>178</v>
      </c>
    </row>
    <row r="53" customFormat="false" ht="15" hidden="false" customHeight="false" outlineLevel="0" collapsed="false">
      <c r="A53" s="15" t="n">
        <v>46281</v>
      </c>
      <c r="B53" s="4" t="s">
        <v>182</v>
      </c>
      <c r="C53" s="4"/>
      <c r="D53" s="17" t="s">
        <v>85</v>
      </c>
    </row>
    <row r="54" customFormat="false" ht="15" hidden="false" customHeight="false" outlineLevel="0" collapsed="false">
      <c r="A54" s="15" t="n">
        <v>46282</v>
      </c>
      <c r="B54" s="4" t="s">
        <v>182</v>
      </c>
      <c r="C54" s="4"/>
      <c r="D54" s="17" t="s">
        <v>85</v>
      </c>
    </row>
    <row r="55" customFormat="false" ht="15" hidden="false" customHeight="false" outlineLevel="0" collapsed="false">
      <c r="A55" s="15" t="n">
        <v>46282</v>
      </c>
      <c r="B55" s="4" t="s">
        <v>177</v>
      </c>
      <c r="C55" s="4"/>
      <c r="D55" s="17" t="s">
        <v>178</v>
      </c>
    </row>
    <row r="56" customFormat="false" ht="15" hidden="false" customHeight="false" outlineLevel="0" collapsed="false">
      <c r="A56" s="15" t="n">
        <v>46283</v>
      </c>
      <c r="B56" s="4" t="s">
        <v>182</v>
      </c>
      <c r="C56" s="4"/>
      <c r="D56" s="17" t="s">
        <v>87</v>
      </c>
    </row>
    <row r="57" customFormat="false" ht="15" hidden="false" customHeight="false" outlineLevel="0" collapsed="false">
      <c r="A57" s="15" t="n">
        <v>46284</v>
      </c>
      <c r="B57" s="4" t="s">
        <v>173</v>
      </c>
      <c r="C57" s="4" t="s">
        <v>31</v>
      </c>
      <c r="D57" s="17" t="s">
        <v>174</v>
      </c>
    </row>
    <row r="58" customFormat="false" ht="15" hidden="false" customHeight="false" outlineLevel="0" collapsed="false">
      <c r="A58" s="15" t="n">
        <v>46284</v>
      </c>
      <c r="B58" s="4" t="s">
        <v>175</v>
      </c>
      <c r="C58" s="4" t="s">
        <v>29</v>
      </c>
      <c r="D58" s="17" t="s">
        <v>176</v>
      </c>
    </row>
    <row r="59" customFormat="false" ht="15" hidden="false" customHeight="false" outlineLevel="0" collapsed="false">
      <c r="A59" s="15" t="n">
        <v>46287</v>
      </c>
      <c r="B59" s="4" t="s">
        <v>173</v>
      </c>
      <c r="C59" s="4" t="s">
        <v>31</v>
      </c>
      <c r="D59" s="17" t="s">
        <v>174</v>
      </c>
    </row>
    <row r="60" customFormat="false" ht="15" hidden="false" customHeight="false" outlineLevel="0" collapsed="false">
      <c r="A60" s="15" t="n">
        <v>46288</v>
      </c>
      <c r="B60" s="4" t="s">
        <v>173</v>
      </c>
      <c r="C60" s="4" t="s">
        <v>31</v>
      </c>
      <c r="D60" s="17" t="s">
        <v>181</v>
      </c>
    </row>
    <row r="61" customFormat="false" ht="15" hidden="false" customHeight="false" outlineLevel="0" collapsed="false">
      <c r="A61" s="15" t="n">
        <v>46289</v>
      </c>
      <c r="B61" s="4" t="s">
        <v>177</v>
      </c>
      <c r="C61" s="4"/>
      <c r="D61" s="17" t="s">
        <v>178</v>
      </c>
    </row>
    <row r="62" customFormat="false" ht="15" hidden="false" customHeight="false" outlineLevel="0" collapsed="false">
      <c r="A62" s="15" t="n">
        <v>46291</v>
      </c>
      <c r="B62" s="4" t="s">
        <v>173</v>
      </c>
      <c r="C62" s="4" t="s">
        <v>31</v>
      </c>
      <c r="D62" s="17" t="s">
        <v>179</v>
      </c>
    </row>
    <row r="63" customFormat="false" ht="15" hidden="false" customHeight="false" outlineLevel="0" collapsed="false">
      <c r="A63" s="15" t="n">
        <v>46292</v>
      </c>
      <c r="B63" s="4" t="s">
        <v>175</v>
      </c>
      <c r="C63" s="4" t="s">
        <v>29</v>
      </c>
      <c r="D63" s="17" t="s">
        <v>180</v>
      </c>
    </row>
    <row r="64" customFormat="false" ht="15" hidden="false" customHeight="false" outlineLevel="0" collapsed="false">
      <c r="A64" s="15" t="n">
        <v>46293</v>
      </c>
      <c r="B64" s="4" t="s">
        <v>182</v>
      </c>
      <c r="C64" s="4"/>
      <c r="D64" s="17" t="s">
        <v>85</v>
      </c>
    </row>
    <row r="65" customFormat="false" ht="15" hidden="false" customHeight="false" outlineLevel="0" collapsed="false">
      <c r="A65" s="15" t="n">
        <v>46293</v>
      </c>
      <c r="B65" s="4" t="s">
        <v>177</v>
      </c>
      <c r="C65" s="4"/>
      <c r="D65" s="17" t="s">
        <v>178</v>
      </c>
    </row>
    <row r="66" customFormat="false" ht="15" hidden="false" customHeight="false" outlineLevel="0" collapsed="false">
      <c r="A66" s="15" t="n">
        <v>46294</v>
      </c>
      <c r="B66" s="4" t="s">
        <v>177</v>
      </c>
      <c r="C66" s="4"/>
      <c r="D66" s="17" t="s">
        <v>178</v>
      </c>
    </row>
    <row r="67" customFormat="false" ht="15" hidden="false" customHeight="false" outlineLevel="0" collapsed="false">
      <c r="A67" s="15" t="n">
        <v>46295</v>
      </c>
      <c r="B67" s="4" t="s">
        <v>182</v>
      </c>
      <c r="C67" s="4"/>
      <c r="D67" s="17" t="s">
        <v>83</v>
      </c>
    </row>
    <row r="68" customFormat="false" ht="15" hidden="false" customHeight="false" outlineLevel="0" collapsed="false">
      <c r="A68" s="15" t="n">
        <v>46297</v>
      </c>
      <c r="B68" s="4" t="s">
        <v>173</v>
      </c>
      <c r="C68" s="4" t="s">
        <v>31</v>
      </c>
      <c r="D68" s="17" t="s">
        <v>179</v>
      </c>
    </row>
    <row r="69" customFormat="false" ht="15" hidden="false" customHeight="false" outlineLevel="0" collapsed="false">
      <c r="A69" s="15" t="n">
        <v>46298</v>
      </c>
      <c r="B69" s="4" t="s">
        <v>175</v>
      </c>
      <c r="C69" s="4" t="s">
        <v>29</v>
      </c>
      <c r="D69" s="17" t="s">
        <v>180</v>
      </c>
    </row>
    <row r="70" customFormat="false" ht="15" hidden="false" customHeight="false" outlineLevel="0" collapsed="false">
      <c r="A70" s="15" t="n">
        <v>46305</v>
      </c>
      <c r="B70" s="4" t="s">
        <v>182</v>
      </c>
      <c r="C70" s="4"/>
      <c r="D70" s="17" t="s">
        <v>86</v>
      </c>
    </row>
  </sheetData>
  <autoFilter ref="A1:D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30" hidden="false" customHeight="true" outlineLevel="0" collapsed="false">
      <c r="A4" s="9" t="s">
        <v>105</v>
      </c>
      <c r="B4" s="9" t="s">
        <v>188</v>
      </c>
      <c r="C4" s="9" t="s">
        <v>189</v>
      </c>
      <c r="D4" s="9" t="s">
        <v>190</v>
      </c>
      <c r="E4" s="9" t="s">
        <v>191</v>
      </c>
      <c r="F4" s="9" t="s">
        <v>192</v>
      </c>
      <c r="G4" s="9" t="s">
        <v>193</v>
      </c>
    </row>
    <row r="5" customFormat="false" ht="15" hidden="false" customHeight="false" outlineLevel="0" collapsed="false">
      <c r="A5" s="4" t="s">
        <v>131</v>
      </c>
      <c r="B5" s="11" t="n">
        <f aca="false">COUNTIFS(Intentions!$D$2:$D$365,$A5,Intentions!$G$2:$G$365,"&gt;0",Intentions!$I$2:$I$365,"&gt;0")</f>
        <v>18</v>
      </c>
      <c r="C5" s="10" t="n">
        <f aca="false">IFERROR(AVERAGEIFS(Intentions!$G$2:$G$365,Intentions!$D$2:$D$365,$A5,Intentions!$G$2:$G$365,"&gt;0",Intentions!$I$2:$I$365,"&gt;0"),"")</f>
        <v>20</v>
      </c>
      <c r="D5" s="10" t="n">
        <f aca="false">IFERROR(AVERAGEIFS(Intentions!$I$2:$I$365,Intentions!$D$2:$D$365,$A5,Intentions!$G$2:$G$365,"&gt;0",Intentions!$I$2:$I$365,"&gt;0"),"")</f>
        <v>19.2222222222222</v>
      </c>
      <c r="E5" s="10" t="n">
        <f aca="false">IFERROR(D5-C5,"")</f>
        <v>-0.777777777777779</v>
      </c>
      <c r="F5" s="18" t="n">
        <f aca="false">IFERROR(D5/C5,"")</f>
        <v>0.961111111111111</v>
      </c>
      <c r="G5" s="4" t="str">
        <f aca="false">IF(B5&lt;3,"Not enough data",IF(F5&gt;1.1,"Underestimate",IF(F5&lt;0.9,"Overestimate","Accurate estimate")))</f>
        <v>Accurate estimate</v>
      </c>
    </row>
    <row r="6" customFormat="false" ht="15" hidden="false" customHeight="false" outlineLevel="0" collapsed="false">
      <c r="A6" s="4" t="s">
        <v>124</v>
      </c>
      <c r="B6" s="11" t="n">
        <f aca="false">COUNTIFS(Intentions!$D$2:$D$365,$A6,Intentions!$G$2:$G$365,"&gt;0",Intentions!$I$2:$I$365,"&gt;0")</f>
        <v>16</v>
      </c>
      <c r="C6" s="10" t="n">
        <f aca="false">IFERROR(AVERAGEIFS(Intentions!$G$2:$G$365,Intentions!$D$2:$D$365,$A6,Intentions!$G$2:$G$365,"&gt;0",Intentions!$I$2:$I$365,"&gt;0"),"")</f>
        <v>20</v>
      </c>
      <c r="D6" s="10" t="n">
        <f aca="false">IFERROR(AVERAGEIFS(Intentions!$I$2:$I$365,Intentions!$D$2:$D$365,$A6,Intentions!$G$2:$G$365,"&gt;0",Intentions!$I$2:$I$365,"&gt;0"),"")</f>
        <v>21</v>
      </c>
      <c r="E6" s="10" t="n">
        <f aca="false">IFERROR(D6-C6,"")</f>
        <v>1</v>
      </c>
      <c r="F6" s="18" t="n">
        <f aca="false">IFERROR(D6/C6,"")</f>
        <v>1.05</v>
      </c>
      <c r="G6" s="4" t="str">
        <f aca="false">IF(B6&lt;3,"Not enough data",IF(F6&gt;1.1,"Underestimate",IF(F6&lt;0.9,"Overestimate","Accurate estimate")))</f>
        <v>Accurate estimate</v>
      </c>
    </row>
    <row r="7" customFormat="false" ht="15" hidden="false" customHeight="false" outlineLevel="0" collapsed="false">
      <c r="A7" s="4" t="s">
        <v>151</v>
      </c>
      <c r="B7" s="11" t="n">
        <f aca="false">COUNTIFS(Intentions!$D$2:$D$365,$A7,Intentions!$G$2:$G$365,"&gt;0",Intentions!$I$2:$I$365,"&gt;0")</f>
        <v>13</v>
      </c>
      <c r="C7" s="10" t="n">
        <f aca="false">IFERROR(AVERAGEIFS(Intentions!$G$2:$G$365,Intentions!$D$2:$D$365,$A7,Intentions!$G$2:$G$365,"&gt;0",Intentions!$I$2:$I$365,"&gt;0"),"")</f>
        <v>30</v>
      </c>
      <c r="D7" s="10" t="n">
        <f aca="false">IFERROR(AVERAGEIFS(Intentions!$I$2:$I$365,Intentions!$D$2:$D$365,$A7,Intentions!$G$2:$G$365,"&gt;0",Intentions!$I$2:$I$365,"&gt;0"),"")</f>
        <v>24.7692307692308</v>
      </c>
      <c r="E7" s="10" t="n">
        <f aca="false">IFERROR(D7-C7,"")</f>
        <v>-5.23076923076923</v>
      </c>
      <c r="F7" s="18" t="n">
        <f aca="false">IFERROR(D7/C7,"")</f>
        <v>0.825641025641026</v>
      </c>
      <c r="G7" s="4" t="str">
        <f aca="false">IF(B7&lt;3,"Not enough data",IF(F7&gt;1.1,"Underestimate",IF(F7&lt;0.9,"Overestimate","Accurate estimate")))</f>
        <v>Overestimate</v>
      </c>
    </row>
    <row r="8" customFormat="false" ht="15" hidden="false" customHeight="false" outlineLevel="0" collapsed="false">
      <c r="A8" s="4" t="s">
        <v>140</v>
      </c>
      <c r="B8" s="11" t="n">
        <f aca="false">COUNTIFS(Intentions!$D$2:$D$365,$A8,Intentions!$G$2:$G$365,"&gt;0",Intentions!$I$2:$I$365,"&gt;0")</f>
        <v>3</v>
      </c>
      <c r="C8" s="10" t="n">
        <f aca="false">IFERROR(AVERAGEIFS(Intentions!$G$2:$G$365,Intentions!$D$2:$D$365,$A8,Intentions!$G$2:$G$365,"&gt;0",Intentions!$I$2:$I$365,"&gt;0"),"")</f>
        <v>45</v>
      </c>
      <c r="D8" s="10" t="n">
        <f aca="false">IFERROR(AVERAGEIFS(Intentions!$I$2:$I$365,Intentions!$D$2:$D$365,$A8,Intentions!$G$2:$G$365,"&gt;0",Intentions!$I$2:$I$365,"&gt;0"),"")</f>
        <v>65.3333333333333</v>
      </c>
      <c r="E8" s="10" t="n">
        <f aca="false">IFERROR(D8-C8,"")</f>
        <v>20.3333333333333</v>
      </c>
      <c r="F8" s="18" t="n">
        <f aca="false">IFERROR(D8/C8,"")</f>
        <v>1.45185185185185</v>
      </c>
      <c r="G8" s="4" t="str">
        <f aca="false">IF(B8&lt;3,"Not enough data",IF(F8&gt;1.1,"Underestimate",IF(F8&lt;0.9,"Overestimate","Accurate estimate")))</f>
        <v>Underestimate</v>
      </c>
    </row>
    <row r="9" customFormat="false" ht="15" hidden="false" customHeight="false" outlineLevel="0" collapsed="false">
      <c r="A9" s="4" t="s">
        <v>119</v>
      </c>
      <c r="B9" s="11" t="n">
        <f aca="false">COUNTIFS(Intentions!$D$2:$D$365,$A9,Intentions!$G$2:$G$365,"&gt;0",Intentions!$I$2:$I$365,"&gt;0")</f>
        <v>28</v>
      </c>
      <c r="C9" s="10" t="n">
        <f aca="false">IFERROR(AVERAGEIFS(Intentions!$G$2:$G$365,Intentions!$D$2:$D$365,$A9,Intentions!$G$2:$G$365,"&gt;0",Intentions!$I$2:$I$365,"&gt;0"),"")</f>
        <v>60</v>
      </c>
      <c r="D9" s="10" t="n">
        <f aca="false">IFERROR(AVERAGEIFS(Intentions!$I$2:$I$365,Intentions!$D$2:$D$365,$A9,Intentions!$G$2:$G$365,"&gt;0",Intentions!$I$2:$I$365,"&gt;0"),"")</f>
        <v>69.4642857142857</v>
      </c>
      <c r="E9" s="10" t="n">
        <f aca="false">IFERROR(D9-C9,"")</f>
        <v>9.46428571428571</v>
      </c>
      <c r="F9" s="18" t="n">
        <f aca="false">IFERROR(D9/C9,"")</f>
        <v>1.1577380952381</v>
      </c>
      <c r="G9" s="4" t="str">
        <f aca="false">IF(B9&lt;3,"Not enough data",IF(F9&gt;1.1,"Underestimate",IF(F9&lt;0.9,"Overestimate","Accurate estimate")))</f>
        <v>Underestimate</v>
      </c>
    </row>
    <row r="10" customFormat="false" ht="15" hidden="false" customHeight="false" outlineLevel="0" collapsed="false">
      <c r="A10" s="4" t="s">
        <v>148</v>
      </c>
      <c r="B10" s="11" t="n">
        <f aca="false">COUNTIFS(Intentions!$D$2:$D$365,$A10,Intentions!$G$2:$G$365,"&gt;0",Intentions!$I$2:$I$365,"&gt;0")</f>
        <v>5</v>
      </c>
      <c r="C10" s="10" t="n">
        <f aca="false">IFERROR(AVERAGEIFS(Intentions!$G$2:$G$365,Intentions!$D$2:$D$365,$A10,Intentions!$G$2:$G$365,"&gt;0",Intentions!$I$2:$I$365,"&gt;0"),"")</f>
        <v>30</v>
      </c>
      <c r="D10" s="10" t="n">
        <f aca="false">IFERROR(AVERAGEIFS(Intentions!$I$2:$I$365,Intentions!$D$2:$D$365,$A10,Intentions!$G$2:$G$365,"&gt;0",Intentions!$I$2:$I$365,"&gt;0"),"")</f>
        <v>26.8</v>
      </c>
      <c r="E10" s="10" t="n">
        <f aca="false">IFERROR(D10-C10,"")</f>
        <v>-3.2</v>
      </c>
      <c r="F10" s="18" t="n">
        <f aca="false">IFERROR(D10/C10,"")</f>
        <v>0.893333333333333</v>
      </c>
      <c r="G10" s="4" t="str">
        <f aca="false">IF(B10&lt;3,"Not enough data",IF(F10&gt;1.1,"Underestimate",IF(F10&lt;0.9,"Overestimate","Accurate estimate")))</f>
        <v>Overestimate</v>
      </c>
    </row>
    <row r="11" customFormat="false" ht="15" hidden="false" customHeight="false" outlineLevel="0" collapsed="false">
      <c r="A11" s="4" t="s">
        <v>144</v>
      </c>
      <c r="B11" s="11" t="n">
        <f aca="false">COUNTIFS(Intentions!$D$2:$D$365,$A11,Intentions!$G$2:$G$365,"&gt;0",Intentions!$I$2:$I$365,"&gt;0")</f>
        <v>8</v>
      </c>
      <c r="C11" s="10" t="n">
        <f aca="false">IFERROR(AVERAGEIFS(Intentions!$G$2:$G$365,Intentions!$D$2:$D$365,$A11,Intentions!$G$2:$G$365,"&gt;0",Intentions!$I$2:$I$365,"&gt;0"),"")</f>
        <v>60</v>
      </c>
      <c r="D11" s="10" t="n">
        <f aca="false">IFERROR(AVERAGEIFS(Intentions!$I$2:$I$365,Intentions!$D$2:$D$365,$A11,Intentions!$G$2:$G$365,"&gt;0",Intentions!$I$2:$I$365,"&gt;0"),"")</f>
        <v>61.625</v>
      </c>
      <c r="E11" s="10" t="n">
        <f aca="false">IFERROR(D11-C11,"")</f>
        <v>1.625</v>
      </c>
      <c r="F11" s="18" t="n">
        <f aca="false">IFERROR(D11/C11,"")</f>
        <v>1.02708333333333</v>
      </c>
      <c r="G11" s="4" t="str">
        <f aca="false">IF(B11&lt;3,"Not enough data",IF(F11&gt;1.1,"Underestimate",IF(F11&lt;0.9,"Overestimate","Accurate estimate")))</f>
        <v>Accurate estimate</v>
      </c>
    </row>
    <row r="12" customFormat="false" ht="15" hidden="false" customHeight="false" outlineLevel="0" collapsed="false">
      <c r="A12" s="4" t="s">
        <v>116</v>
      </c>
      <c r="B12" s="11" t="n">
        <f aca="false">COUNTIFS(Intentions!$D$2:$D$365,$A12,Intentions!$G$2:$G$365,"&gt;0",Intentions!$I$2:$I$365,"&gt;0")</f>
        <v>26</v>
      </c>
      <c r="C12" s="10" t="n">
        <f aca="false">IFERROR(AVERAGEIFS(Intentions!$G$2:$G$365,Intentions!$D$2:$D$365,$A12,Intentions!$G$2:$G$365,"&gt;0",Intentions!$I$2:$I$365,"&gt;0"),"")</f>
        <v>15</v>
      </c>
      <c r="D12" s="10" t="n">
        <f aca="false">IFERROR(AVERAGEIFS(Intentions!$I$2:$I$365,Intentions!$D$2:$D$365,$A12,Intentions!$G$2:$G$365,"&gt;0",Intentions!$I$2:$I$365,"&gt;0"),"")</f>
        <v>16.3846153846154</v>
      </c>
      <c r="E12" s="10" t="n">
        <f aca="false">IFERROR(D12-C12,"")</f>
        <v>1.38461538461538</v>
      </c>
      <c r="F12" s="18" t="n">
        <f aca="false">IFERROR(D12/C12,"")</f>
        <v>1.09230769230769</v>
      </c>
      <c r="G12" s="4" t="str">
        <f aca="false">IF(B12&lt;3,"Not enough data",IF(F12&gt;1.1,"Underestimate",IF(F12&lt;0.9,"Overestimate","Accurate estimate")))</f>
        <v>Accurate estimate</v>
      </c>
    </row>
    <row r="13" customFormat="false" ht="15" hidden="false" customHeight="false" outlineLevel="0" collapsed="false">
      <c r="A13" s="4" t="s">
        <v>136</v>
      </c>
      <c r="B13" s="11" t="n">
        <f aca="false">COUNTIFS(Intentions!$D$2:$D$365,$A13,Intentions!$G$2:$G$365,"&gt;0",Intentions!$I$2:$I$365,"&gt;0")</f>
        <v>13</v>
      </c>
      <c r="C13" s="10" t="n">
        <f aca="false">IFERROR(AVERAGEIFS(Intentions!$G$2:$G$365,Intentions!$D$2:$D$365,$A13,Intentions!$G$2:$G$365,"&gt;0",Intentions!$I$2:$I$365,"&gt;0"),"")</f>
        <v>120</v>
      </c>
      <c r="D13" s="10" t="n">
        <f aca="false">IFERROR(AVERAGEIFS(Intentions!$I$2:$I$365,Intentions!$D$2:$D$365,$A13,Intentions!$G$2:$G$365,"&gt;0",Intentions!$I$2:$I$365,"&gt;0"),"")</f>
        <v>160.923076923077</v>
      </c>
      <c r="E13" s="10" t="n">
        <f aca="false">IFERROR(D13-C13,"")</f>
        <v>40.9230769230769</v>
      </c>
      <c r="F13" s="18" t="n">
        <f aca="false">IFERROR(D13/C13,"")</f>
        <v>1.34102564102564</v>
      </c>
      <c r="G13" s="4" t="str">
        <f aca="false">IF(B13&lt;3,"Not enough data",IF(F13&gt;1.1,"Underestimate",IF(F13&lt;0.9,"Overestimate","Accurate estimate")))</f>
        <v>Underestimate</v>
      </c>
    </row>
    <row r="14" customFormat="false" ht="15" hidden="false" customHeight="false" outlineLevel="0" collapsed="false">
      <c r="A14" s="4" t="s">
        <v>134</v>
      </c>
      <c r="B14" s="11" t="n">
        <f aca="false">COUNTIFS(Intentions!$D$2:$D$365,$A14,Intentions!$G$2:$G$365,"&gt;0",Intentions!$I$2:$I$365,"&gt;0")</f>
        <v>8</v>
      </c>
      <c r="C14" s="10" t="n">
        <f aca="false">IFERROR(AVERAGEIFS(Intentions!$G$2:$G$365,Intentions!$D$2:$D$365,$A14,Intentions!$G$2:$G$365,"&gt;0",Intentions!$I$2:$I$365,"&gt;0"),"")</f>
        <v>45</v>
      </c>
      <c r="D14" s="10" t="n">
        <f aca="false">IFERROR(AVERAGEIFS(Intentions!$I$2:$I$365,Intentions!$D$2:$D$365,$A14,Intentions!$G$2:$G$365,"&gt;0",Intentions!$I$2:$I$365,"&gt;0"),"")</f>
        <v>56</v>
      </c>
      <c r="E14" s="10" t="n">
        <f aca="false">IFERROR(D14-C14,"")</f>
        <v>11</v>
      </c>
      <c r="F14" s="18" t="n">
        <f aca="false">IFERROR(D14/C14,"")</f>
        <v>1.24444444444444</v>
      </c>
      <c r="G14" s="4" t="str">
        <f aca="false">IF(B14&lt;3,"Not enough data",IF(F14&gt;1.1,"Underestimate",IF(F14&lt;0.9,"Overestimate","Accurate estimate")))</f>
        <v>Underestimate</v>
      </c>
    </row>
    <row r="15" customFormat="false" ht="15" hidden="false" customHeight="false" outlineLevel="0" collapsed="false">
      <c r="A15" s="4" t="s">
        <v>156</v>
      </c>
      <c r="B15" s="11" t="n">
        <f aca="false">COUNTIFS(Intentions!$D$2:$D$365,$A15,Intentions!$G$2:$G$365,"&gt;0",Intentions!$I$2:$I$365,"&gt;0")</f>
        <v>8</v>
      </c>
      <c r="C15" s="10" t="n">
        <f aca="false">IFERROR(AVERAGEIFS(Intentions!$G$2:$G$365,Intentions!$D$2:$D$365,$A15,Intentions!$G$2:$G$365,"&gt;0",Intentions!$I$2:$I$365,"&gt;0"),"")</f>
        <v>30</v>
      </c>
      <c r="D15" s="10" t="n">
        <f aca="false">IFERROR(AVERAGEIFS(Intentions!$I$2:$I$365,Intentions!$D$2:$D$365,$A15,Intentions!$G$2:$G$365,"&gt;0",Intentions!$I$2:$I$365,"&gt;0"),"")</f>
        <v>29.75</v>
      </c>
      <c r="E15" s="10" t="n">
        <f aca="false">IFERROR(D15-C15,"")</f>
        <v>-0.25</v>
      </c>
      <c r="F15" s="18" t="n">
        <f aca="false">IFERROR(D15/C15,"")</f>
        <v>0.991666666666667</v>
      </c>
      <c r="G15" s="4" t="str">
        <f aca="false">IF(B15&lt;3,"Not enough data",IF(F15&gt;1.1,"Underestimate",IF(F15&lt;0.9,"Overestimate","Accurate estimate")))</f>
        <v>Accurate estimate</v>
      </c>
    </row>
    <row r="16" customFormat="false" ht="15" hidden="false" customHeight="false" outlineLevel="0" collapsed="false">
      <c r="A16" s="4" t="s">
        <v>159</v>
      </c>
      <c r="B16" s="11" t="n">
        <f aca="false">COUNTIFS(Intentions!$D$2:$D$365,$A16,Intentions!$G$2:$G$365,"&gt;0",Intentions!$I$2:$I$365,"&gt;0")</f>
        <v>10</v>
      </c>
      <c r="C16" s="10" t="n">
        <f aca="false">IFERROR(AVERAGEIFS(Intentions!$G$2:$G$365,Intentions!$D$2:$D$365,$A16,Intentions!$G$2:$G$365,"&gt;0",Intentions!$I$2:$I$365,"&gt;0"),"")</f>
        <v>60</v>
      </c>
      <c r="D16" s="10" t="n">
        <f aca="false">IFERROR(AVERAGEIFS(Intentions!$I$2:$I$365,Intentions!$D$2:$D$365,$A16,Intentions!$G$2:$G$365,"&gt;0",Intentions!$I$2:$I$365,"&gt;0"),"")</f>
        <v>58.8</v>
      </c>
      <c r="E16" s="10" t="n">
        <f aca="false">IFERROR(D16-C16,"")</f>
        <v>-1.2</v>
      </c>
      <c r="F16" s="18" t="n">
        <f aca="false">IFERROR(D16/C16,"")</f>
        <v>0.98</v>
      </c>
      <c r="G16" s="4" t="str">
        <f aca="false">IF(B16&lt;3,"Not enough data",IF(F16&gt;1.1,"Underestimate",IF(F16&lt;0.9,"Overestimate","Accurate estimate")))</f>
        <v>Accurate estimate</v>
      </c>
    </row>
    <row r="17" customFormat="false" ht="15" hidden="false" customHeight="false" outlineLevel="0" collapsed="false">
      <c r="A17" s="4" t="s">
        <v>128</v>
      </c>
      <c r="B17" s="11" t="n">
        <f aca="false">COUNTIFS(Intentions!$D$2:$D$365,$A17,Intentions!$G$2:$G$365,"&gt;0",Intentions!$I$2:$I$365,"&gt;0")</f>
        <v>12</v>
      </c>
      <c r="C17" s="10" t="n">
        <f aca="false">IFERROR(AVERAGEIFS(Intentions!$G$2:$G$365,Intentions!$D$2:$D$365,$A17,Intentions!$G$2:$G$365,"&gt;0",Intentions!$I$2:$I$365,"&gt;0"),"")</f>
        <v>40</v>
      </c>
      <c r="D17" s="10" t="n">
        <f aca="false">IFERROR(AVERAGEIFS(Intentions!$I$2:$I$365,Intentions!$D$2:$D$365,$A17,Intentions!$G$2:$G$365,"&gt;0",Intentions!$I$2:$I$365,"&gt;0"),"")</f>
        <v>35.3333333333333</v>
      </c>
      <c r="E17" s="10" t="n">
        <f aca="false">IFERROR(D17-C17,"")</f>
        <v>-4.66666666666666</v>
      </c>
      <c r="F17" s="18" t="n">
        <f aca="false">IFERROR(D17/C17,"")</f>
        <v>0.883333333333333</v>
      </c>
      <c r="G17" s="4" t="str">
        <f aca="false">IF(B17&lt;3,"Not enough data",IF(F17&gt;1.1,"Underestimate",IF(F17&lt;0.9,"Overestimate","Accurate estimate")))</f>
        <v>Overestimate</v>
      </c>
    </row>
    <row r="19" customFormat="false" ht="15" hidden="false" customHeight="false" outlineLevel="0" collapsed="false">
      <c r="A19" s="2" t="s">
        <v>194</v>
      </c>
    </row>
  </sheetData>
  <autoFilter ref="A4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30" hidden="false" customHeight="true" outlineLevel="0" collapsed="false">
      <c r="A4" s="9" t="s">
        <v>105</v>
      </c>
      <c r="B4" s="9" t="s">
        <v>54</v>
      </c>
      <c r="C4" s="9" t="s">
        <v>126</v>
      </c>
      <c r="D4" s="9" t="s">
        <v>154</v>
      </c>
      <c r="E4" s="9" t="s">
        <v>150</v>
      </c>
      <c r="F4" s="9" t="s">
        <v>197</v>
      </c>
    </row>
    <row r="5" customFormat="false" ht="15" hidden="false" customHeight="false" outlineLevel="0" collapsed="false">
      <c r="A5" s="4" t="s">
        <v>131</v>
      </c>
      <c r="B5" s="11" t="n">
        <f aca="false">COUNTIFS(Intentions!$D$2:$D$365,$A5,Intentions!$H$2:$H$365,"&lt;&gt;Planned")</f>
        <v>23</v>
      </c>
      <c r="C5" s="11" t="n">
        <f aca="false">COUNTIFS(Intentions!$D$2:$D$365,$A5,Intentions!$H$2:$H$365,"Not done")</f>
        <v>4</v>
      </c>
      <c r="D5" s="11" t="n">
        <f aca="false">COUNTIFS(Intentions!$D$2:$D$365,$A5,Intentions!$H$2:$H$365,"Dropped")</f>
        <v>0</v>
      </c>
      <c r="E5" s="11" t="n">
        <f aca="false">COUNTIFS(Intentions!$D$2:$D$365,$A5,Intentions!$H$2:$H$365,"Postponed")</f>
        <v>1</v>
      </c>
      <c r="F5" s="12" t="n">
        <f aca="false">IF(B5=0,"",(C5+D5)/B5)</f>
        <v>0.173913043478261</v>
      </c>
    </row>
    <row r="6" customFormat="false" ht="15" hidden="false" customHeight="false" outlineLevel="0" collapsed="false">
      <c r="A6" s="4" t="s">
        <v>124</v>
      </c>
      <c r="B6" s="11" t="n">
        <f aca="false">COUNTIFS(Intentions!$D$2:$D$365,$A6,Intentions!$H$2:$H$365,"&lt;&gt;Planned")</f>
        <v>23</v>
      </c>
      <c r="C6" s="11" t="n">
        <f aca="false">COUNTIFS(Intentions!$D$2:$D$365,$A6,Intentions!$H$2:$H$365,"Not done")</f>
        <v>5</v>
      </c>
      <c r="D6" s="11" t="n">
        <f aca="false">COUNTIFS(Intentions!$D$2:$D$365,$A6,Intentions!$H$2:$H$365,"Dropped")</f>
        <v>2</v>
      </c>
      <c r="E6" s="11" t="n">
        <f aca="false">COUNTIFS(Intentions!$D$2:$D$365,$A6,Intentions!$H$2:$H$365,"Postponed")</f>
        <v>0</v>
      </c>
      <c r="F6" s="12" t="n">
        <f aca="false">IF(B6=0,"",(C6+D6)/B6)</f>
        <v>0.304347826086957</v>
      </c>
    </row>
    <row r="7" customFormat="false" ht="15" hidden="false" customHeight="false" outlineLevel="0" collapsed="false">
      <c r="A7" s="4" t="s">
        <v>151</v>
      </c>
      <c r="B7" s="11" t="n">
        <f aca="false">COUNTIFS(Intentions!$D$2:$D$365,$A7,Intentions!$H$2:$H$365,"&lt;&gt;Planned")</f>
        <v>24</v>
      </c>
      <c r="C7" s="11" t="n">
        <f aca="false">COUNTIFS(Intentions!$D$2:$D$365,$A7,Intentions!$H$2:$H$365,"Not done")</f>
        <v>7</v>
      </c>
      <c r="D7" s="11" t="n">
        <f aca="false">COUNTIFS(Intentions!$D$2:$D$365,$A7,Intentions!$H$2:$H$365,"Dropped")</f>
        <v>2</v>
      </c>
      <c r="E7" s="11" t="n">
        <f aca="false">COUNTIFS(Intentions!$D$2:$D$365,$A7,Intentions!$H$2:$H$365,"Postponed")</f>
        <v>2</v>
      </c>
      <c r="F7" s="12" t="n">
        <f aca="false">IF(B7=0,"",(C7+D7)/B7)</f>
        <v>0.375</v>
      </c>
    </row>
    <row r="8" customFormat="false" ht="15" hidden="false" customHeight="false" outlineLevel="0" collapsed="false">
      <c r="A8" s="4" t="s">
        <v>140</v>
      </c>
      <c r="B8" s="11" t="n">
        <f aca="false">COUNTIFS(Intentions!$D$2:$D$365,$A8,Intentions!$H$2:$H$365,"&lt;&gt;Planned")</f>
        <v>17</v>
      </c>
      <c r="C8" s="11" t="n">
        <f aca="false">COUNTIFS(Intentions!$D$2:$D$365,$A8,Intentions!$H$2:$H$365,"Not done")</f>
        <v>7</v>
      </c>
      <c r="D8" s="11" t="n">
        <f aca="false">COUNTIFS(Intentions!$D$2:$D$365,$A8,Intentions!$H$2:$H$365,"Dropped")</f>
        <v>2</v>
      </c>
      <c r="E8" s="11" t="n">
        <f aca="false">COUNTIFS(Intentions!$D$2:$D$365,$A8,Intentions!$H$2:$H$365,"Postponed")</f>
        <v>5</v>
      </c>
      <c r="F8" s="12" t="n">
        <f aca="false">IF(B8=0,"",(C8+D8)/B8)</f>
        <v>0.529411764705882</v>
      </c>
    </row>
    <row r="9" customFormat="false" ht="15" hidden="false" customHeight="false" outlineLevel="0" collapsed="false">
      <c r="A9" s="4" t="s">
        <v>119</v>
      </c>
      <c r="B9" s="11" t="n">
        <f aca="false">COUNTIFS(Intentions!$D$2:$D$365,$A9,Intentions!$H$2:$H$365,"&lt;&gt;Planned")</f>
        <v>64</v>
      </c>
      <c r="C9" s="11" t="n">
        <f aca="false">COUNTIFS(Intentions!$D$2:$D$365,$A9,Intentions!$H$2:$H$365,"Not done")</f>
        <v>12</v>
      </c>
      <c r="D9" s="11" t="n">
        <f aca="false">COUNTIFS(Intentions!$D$2:$D$365,$A9,Intentions!$H$2:$H$365,"Dropped")</f>
        <v>14</v>
      </c>
      <c r="E9" s="11" t="n">
        <f aca="false">COUNTIFS(Intentions!$D$2:$D$365,$A9,Intentions!$H$2:$H$365,"Postponed")</f>
        <v>10</v>
      </c>
      <c r="F9" s="12" t="n">
        <f aca="false">IF(B9=0,"",(C9+D9)/B9)</f>
        <v>0.40625</v>
      </c>
    </row>
    <row r="10" customFormat="false" ht="15" hidden="false" customHeight="false" outlineLevel="0" collapsed="false">
      <c r="A10" s="4" t="s">
        <v>148</v>
      </c>
      <c r="B10" s="11" t="n">
        <f aca="false">COUNTIFS(Intentions!$D$2:$D$365,$A10,Intentions!$H$2:$H$365,"&lt;&gt;Planned")</f>
        <v>18</v>
      </c>
      <c r="C10" s="11" t="n">
        <f aca="false">COUNTIFS(Intentions!$D$2:$D$365,$A10,Intentions!$H$2:$H$365,"Not done")</f>
        <v>8</v>
      </c>
      <c r="D10" s="11" t="n">
        <f aca="false">COUNTIFS(Intentions!$D$2:$D$365,$A10,Intentions!$H$2:$H$365,"Dropped")</f>
        <v>3</v>
      </c>
      <c r="E10" s="11" t="n">
        <f aca="false">COUNTIFS(Intentions!$D$2:$D$365,$A10,Intentions!$H$2:$H$365,"Postponed")</f>
        <v>2</v>
      </c>
      <c r="F10" s="12" t="n">
        <f aca="false">IF(B10=0,"",(C10+D10)/B10)</f>
        <v>0.611111111111111</v>
      </c>
    </row>
    <row r="11" customFormat="false" ht="15" hidden="false" customHeight="false" outlineLevel="0" collapsed="false">
      <c r="A11" s="4" t="s">
        <v>144</v>
      </c>
      <c r="B11" s="11" t="n">
        <f aca="false">COUNTIFS(Intentions!$D$2:$D$365,$A11,Intentions!$H$2:$H$365,"&lt;&gt;Planned")</f>
        <v>26</v>
      </c>
      <c r="C11" s="11" t="n">
        <f aca="false">COUNTIFS(Intentions!$D$2:$D$365,$A11,Intentions!$H$2:$H$365,"Not done")</f>
        <v>9</v>
      </c>
      <c r="D11" s="11" t="n">
        <f aca="false">COUNTIFS(Intentions!$D$2:$D$365,$A11,Intentions!$H$2:$H$365,"Dropped")</f>
        <v>4</v>
      </c>
      <c r="E11" s="11" t="n">
        <f aca="false">COUNTIFS(Intentions!$D$2:$D$365,$A11,Intentions!$H$2:$H$365,"Postponed")</f>
        <v>5</v>
      </c>
      <c r="F11" s="12" t="n">
        <f aca="false">IF(B11=0,"",(C11+D11)/B11)</f>
        <v>0.5</v>
      </c>
    </row>
    <row r="12" customFormat="false" ht="15" hidden="false" customHeight="false" outlineLevel="0" collapsed="false">
      <c r="A12" s="4" t="s">
        <v>116</v>
      </c>
      <c r="B12" s="11" t="n">
        <f aca="false">COUNTIFS(Intentions!$D$2:$D$365,$A12,Intentions!$H$2:$H$365,"&lt;&gt;Planned")</f>
        <v>36</v>
      </c>
      <c r="C12" s="11" t="n">
        <f aca="false">COUNTIFS(Intentions!$D$2:$D$365,$A12,Intentions!$H$2:$H$365,"Not done")</f>
        <v>5</v>
      </c>
      <c r="D12" s="11" t="n">
        <f aca="false">COUNTIFS(Intentions!$D$2:$D$365,$A12,Intentions!$H$2:$H$365,"Dropped")</f>
        <v>3</v>
      </c>
      <c r="E12" s="11" t="n">
        <f aca="false">COUNTIFS(Intentions!$D$2:$D$365,$A12,Intentions!$H$2:$H$365,"Postponed")</f>
        <v>2</v>
      </c>
      <c r="F12" s="12" t="n">
        <f aca="false">IF(B12=0,"",(C12+D12)/B12)</f>
        <v>0.222222222222222</v>
      </c>
    </row>
    <row r="13" customFormat="false" ht="15" hidden="false" customHeight="false" outlineLevel="0" collapsed="false">
      <c r="A13" s="4" t="s">
        <v>136</v>
      </c>
      <c r="B13" s="11" t="n">
        <f aca="false">COUNTIFS(Intentions!$D$2:$D$365,$A13,Intentions!$H$2:$H$365,"&lt;&gt;Planned")</f>
        <v>25</v>
      </c>
      <c r="C13" s="11" t="n">
        <f aca="false">COUNTIFS(Intentions!$D$2:$D$365,$A13,Intentions!$H$2:$H$365,"Not done")</f>
        <v>5</v>
      </c>
      <c r="D13" s="11" t="n">
        <f aca="false">COUNTIFS(Intentions!$D$2:$D$365,$A13,Intentions!$H$2:$H$365,"Dropped")</f>
        <v>5</v>
      </c>
      <c r="E13" s="11" t="n">
        <f aca="false">COUNTIFS(Intentions!$D$2:$D$365,$A13,Intentions!$H$2:$H$365,"Postponed")</f>
        <v>2</v>
      </c>
      <c r="F13" s="12" t="n">
        <f aca="false">IF(B13=0,"",(C13+D13)/B13)</f>
        <v>0.4</v>
      </c>
    </row>
    <row r="14" customFormat="false" ht="15" hidden="false" customHeight="false" outlineLevel="0" collapsed="false">
      <c r="A14" s="4" t="s">
        <v>134</v>
      </c>
      <c r="B14" s="11" t="n">
        <f aca="false">COUNTIFS(Intentions!$D$2:$D$365,$A14,Intentions!$H$2:$H$365,"&lt;&gt;Planned")</f>
        <v>24</v>
      </c>
      <c r="C14" s="11" t="n">
        <f aca="false">COUNTIFS(Intentions!$D$2:$D$365,$A14,Intentions!$H$2:$H$365,"Not done")</f>
        <v>9</v>
      </c>
      <c r="D14" s="11" t="n">
        <f aca="false">COUNTIFS(Intentions!$D$2:$D$365,$A14,Intentions!$H$2:$H$365,"Dropped")</f>
        <v>3</v>
      </c>
      <c r="E14" s="11" t="n">
        <f aca="false">COUNTIFS(Intentions!$D$2:$D$365,$A14,Intentions!$H$2:$H$365,"Postponed")</f>
        <v>4</v>
      </c>
      <c r="F14" s="12" t="n">
        <f aca="false">IF(B14=0,"",(C14+D14)/B14)</f>
        <v>0.5</v>
      </c>
    </row>
    <row r="15" customFormat="false" ht="15" hidden="false" customHeight="false" outlineLevel="0" collapsed="false">
      <c r="A15" s="4" t="s">
        <v>156</v>
      </c>
      <c r="B15" s="11" t="n">
        <f aca="false">COUNTIFS(Intentions!$D$2:$D$365,$A15,Intentions!$H$2:$H$365,"&lt;&gt;Planned")</f>
        <v>26</v>
      </c>
      <c r="C15" s="11" t="n">
        <f aca="false">COUNTIFS(Intentions!$D$2:$D$365,$A15,Intentions!$H$2:$H$365,"Not done")</f>
        <v>7</v>
      </c>
      <c r="D15" s="11" t="n">
        <f aca="false">COUNTIFS(Intentions!$D$2:$D$365,$A15,Intentions!$H$2:$H$365,"Dropped")</f>
        <v>6</v>
      </c>
      <c r="E15" s="11" t="n">
        <f aca="false">COUNTIFS(Intentions!$D$2:$D$365,$A15,Intentions!$H$2:$H$365,"Postponed")</f>
        <v>5</v>
      </c>
      <c r="F15" s="12" t="n">
        <f aca="false">IF(B15=0,"",(C15+D15)/B15)</f>
        <v>0.5</v>
      </c>
    </row>
    <row r="16" customFormat="false" ht="15" hidden="false" customHeight="false" outlineLevel="0" collapsed="false">
      <c r="A16" s="4" t="s">
        <v>159</v>
      </c>
      <c r="B16" s="11" t="n">
        <f aca="false">COUNTIFS(Intentions!$D$2:$D$365,$A16,Intentions!$H$2:$H$365,"&lt;&gt;Planned")</f>
        <v>22</v>
      </c>
      <c r="C16" s="11" t="n">
        <f aca="false">COUNTIFS(Intentions!$D$2:$D$365,$A16,Intentions!$H$2:$H$365,"Not done")</f>
        <v>6</v>
      </c>
      <c r="D16" s="11" t="n">
        <f aca="false">COUNTIFS(Intentions!$D$2:$D$365,$A16,Intentions!$H$2:$H$365,"Dropped")</f>
        <v>4</v>
      </c>
      <c r="E16" s="11" t="n">
        <f aca="false">COUNTIFS(Intentions!$D$2:$D$365,$A16,Intentions!$H$2:$H$365,"Postponed")</f>
        <v>2</v>
      </c>
      <c r="F16" s="12" t="n">
        <f aca="false">IF(B16=0,"",(C16+D16)/B16)</f>
        <v>0.454545454545455</v>
      </c>
    </row>
    <row r="17" customFormat="false" ht="15" hidden="false" customHeight="false" outlineLevel="0" collapsed="false">
      <c r="A17" s="4" t="s">
        <v>128</v>
      </c>
      <c r="B17" s="11" t="n">
        <f aca="false">COUNTIFS(Intentions!$D$2:$D$365,$A17,Intentions!$H$2:$H$365,"&lt;&gt;Planned")</f>
        <v>25</v>
      </c>
      <c r="C17" s="11" t="n">
        <f aca="false">COUNTIFS(Intentions!$D$2:$D$365,$A17,Intentions!$H$2:$H$365,"Not done")</f>
        <v>7</v>
      </c>
      <c r="D17" s="11" t="n">
        <f aca="false">COUNTIFS(Intentions!$D$2:$D$365,$A17,Intentions!$H$2:$H$365,"Dropped")</f>
        <v>4</v>
      </c>
      <c r="E17" s="11" t="n">
        <f aca="false">COUNTIFS(Intentions!$D$2:$D$365,$A17,Intentions!$H$2:$H$365,"Postponed")</f>
        <v>2</v>
      </c>
      <c r="F17" s="12" t="n">
        <f aca="false">IF(B17=0,"",(C17+D17)/B17)</f>
        <v>0.44</v>
      </c>
    </row>
    <row r="19" customFormat="false" ht="15" hidden="false" customHeight="false" outlineLevel="0" collapsed="false">
      <c r="A19" s="3" t="s">
        <v>198</v>
      </c>
    </row>
    <row r="20" customFormat="false" ht="30" hidden="false" customHeight="true" outlineLevel="0" collapsed="false">
      <c r="A20" s="9" t="s">
        <v>199</v>
      </c>
      <c r="B20" s="9" t="s">
        <v>200</v>
      </c>
    </row>
    <row r="21" customFormat="false" ht="15" hidden="false" customHeight="false" outlineLevel="0" collapsed="false">
      <c r="A21" s="4" t="s">
        <v>153</v>
      </c>
      <c r="B21" s="11" t="n">
        <f aca="false">COUNTIFS(Intentions!$M$2:$M$365,$A21)</f>
        <v>45</v>
      </c>
    </row>
    <row r="22" customFormat="false" ht="15" hidden="false" customHeight="false" outlineLevel="0" collapsed="false">
      <c r="A22" s="4" t="s">
        <v>142</v>
      </c>
      <c r="B22" s="11" t="n">
        <f aca="false">COUNTIFS(Intentions!$M$2:$M$365,$A22)</f>
        <v>21</v>
      </c>
    </row>
    <row r="23" customFormat="false" ht="15" hidden="false" customHeight="false" outlineLevel="0" collapsed="false">
      <c r="A23" s="4" t="s">
        <v>146</v>
      </c>
      <c r="B23" s="11" t="n">
        <f aca="false">COUNTIFS(Intentions!$M$2:$M$365,$A23)</f>
        <v>31</v>
      </c>
    </row>
    <row r="24" customFormat="false" ht="15" hidden="false" customHeight="false" outlineLevel="0" collapsed="false">
      <c r="A24" s="4" t="s">
        <v>163</v>
      </c>
      <c r="B24" s="11" t="n">
        <f aca="false">COUNTIFS(Intentions!$M$2:$M$365,$A24)</f>
        <v>14</v>
      </c>
    </row>
    <row r="25" customFormat="false" ht="15" hidden="false" customHeight="false" outlineLevel="0" collapsed="false">
      <c r="A25" s="4" t="s">
        <v>147</v>
      </c>
      <c r="B25" s="11" t="n">
        <f aca="false">COUNTIFS(Intentions!$M$2:$M$365,$A25)</f>
        <v>22</v>
      </c>
    </row>
    <row r="26" customFormat="false" ht="15" hidden="false" customHeight="false" outlineLevel="0" collapsed="false">
      <c r="A26" s="4" t="s">
        <v>127</v>
      </c>
      <c r="B26" s="11" t="n">
        <f aca="false">COUNTIFS(Intentions!$M$2:$M$365,$A26)</f>
        <v>24</v>
      </c>
    </row>
    <row r="27" customFormat="false" ht="15" hidden="false" customHeight="false" outlineLevel="0" collapsed="false">
      <c r="A27" s="4" t="s">
        <v>155</v>
      </c>
      <c r="B27" s="11" t="n">
        <f aca="false">COUNTIFS(Intentions!$M$2:$M$365,$A27)</f>
        <v>28</v>
      </c>
    </row>
  </sheetData>
  <autoFilter ref="A4:F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30" hidden="false" customHeight="true" outlineLevel="0" collapsed="false">
      <c r="A4" s="9" t="s">
        <v>203</v>
      </c>
      <c r="B4" s="9" t="s">
        <v>204</v>
      </c>
      <c r="C4" s="9" t="s">
        <v>25</v>
      </c>
      <c r="D4" s="9" t="s">
        <v>109</v>
      </c>
      <c r="E4" s="9" t="s">
        <v>205</v>
      </c>
      <c r="F4" s="9" t="s">
        <v>206</v>
      </c>
      <c r="G4" s="9" t="s">
        <v>207</v>
      </c>
      <c r="H4" s="9" t="s">
        <v>9</v>
      </c>
      <c r="I4" s="9" t="s">
        <v>208</v>
      </c>
      <c r="J4" s="9" t="s">
        <v>209</v>
      </c>
    </row>
    <row r="5" customFormat="false" ht="15" hidden="false" customHeight="false" outlineLevel="0" collapsed="false">
      <c r="A5" s="17" t="s">
        <v>210</v>
      </c>
      <c r="B5" s="4" t="s">
        <v>211</v>
      </c>
      <c r="C5" s="4" t="s">
        <v>32</v>
      </c>
      <c r="D5" s="4" t="s">
        <v>212</v>
      </c>
      <c r="E5" s="17"/>
      <c r="F5" s="15"/>
      <c r="G5" s="11" t="n">
        <v>108</v>
      </c>
      <c r="H5" s="12" t="n">
        <v>0.4</v>
      </c>
      <c r="I5" s="10" t="n">
        <v>70.5</v>
      </c>
      <c r="J5" s="15" t="n">
        <v>46311</v>
      </c>
    </row>
    <row r="6" customFormat="false" ht="23.85" hidden="false" customHeight="false" outlineLevel="0" collapsed="false">
      <c r="A6" s="17" t="s">
        <v>213</v>
      </c>
      <c r="B6" s="4" t="s">
        <v>214</v>
      </c>
      <c r="C6" s="4" t="s">
        <v>31</v>
      </c>
      <c r="D6" s="4" t="s">
        <v>212</v>
      </c>
      <c r="E6" s="17" t="s">
        <v>210</v>
      </c>
      <c r="F6" s="15"/>
      <c r="G6" s="11" t="n">
        <v>91</v>
      </c>
      <c r="H6" s="12" t="n">
        <v>0.44</v>
      </c>
      <c r="I6" s="10" t="n">
        <v>67.3</v>
      </c>
      <c r="J6" s="15" t="n">
        <v>46311</v>
      </c>
    </row>
    <row r="7" customFormat="false" ht="15" hidden="false" customHeight="false" outlineLevel="0" collapsed="false">
      <c r="A7" s="17" t="s">
        <v>123</v>
      </c>
      <c r="B7" s="4" t="s">
        <v>215</v>
      </c>
      <c r="C7" s="4" t="s">
        <v>31</v>
      </c>
      <c r="D7" s="4" t="s">
        <v>212</v>
      </c>
      <c r="E7" s="17" t="s">
        <v>213</v>
      </c>
      <c r="F7" s="15"/>
      <c r="G7" s="11" t="n">
        <v>91</v>
      </c>
      <c r="H7" s="12" t="n">
        <v>0.44</v>
      </c>
      <c r="I7" s="10" t="n">
        <v>67.3</v>
      </c>
      <c r="J7" s="15" t="n">
        <v>46311</v>
      </c>
    </row>
    <row r="8" customFormat="false" ht="15" hidden="false" customHeight="false" outlineLevel="0" collapsed="false">
      <c r="A8" s="17" t="s">
        <v>133</v>
      </c>
      <c r="B8" s="4" t="s">
        <v>215</v>
      </c>
      <c r="C8" s="4" t="s">
        <v>29</v>
      </c>
      <c r="D8" s="4" t="s">
        <v>212</v>
      </c>
      <c r="E8" s="17"/>
      <c r="F8" s="15"/>
      <c r="G8" s="11" t="n">
        <v>23</v>
      </c>
      <c r="H8" s="12" t="n">
        <v>0.7</v>
      </c>
      <c r="I8" s="10" t="n">
        <v>5.8</v>
      </c>
      <c r="J8" s="15" t="n">
        <v>46311</v>
      </c>
    </row>
    <row r="9" customFormat="false" ht="15" hidden="false" customHeight="false" outlineLevel="0" collapsed="false">
      <c r="A9" s="17" t="s">
        <v>158</v>
      </c>
      <c r="B9" s="4" t="s">
        <v>216</v>
      </c>
      <c r="C9" s="4" t="s">
        <v>30</v>
      </c>
      <c r="D9" s="4" t="s">
        <v>212</v>
      </c>
      <c r="E9" s="17"/>
      <c r="F9" s="15"/>
      <c r="G9" s="11" t="n">
        <v>26</v>
      </c>
      <c r="H9" s="12" t="n">
        <v>0.31</v>
      </c>
      <c r="I9" s="10" t="n">
        <v>4</v>
      </c>
      <c r="J9" s="15" t="n">
        <v>46310</v>
      </c>
    </row>
    <row r="10" customFormat="false" ht="23.85" hidden="false" customHeight="false" outlineLevel="0" collapsed="false">
      <c r="A10" s="17" t="s">
        <v>143</v>
      </c>
      <c r="B10" s="4" t="s">
        <v>216</v>
      </c>
      <c r="C10" s="4" t="s">
        <v>32</v>
      </c>
      <c r="D10" s="4" t="s">
        <v>212</v>
      </c>
      <c r="E10" s="17" t="s">
        <v>210</v>
      </c>
      <c r="F10" s="15"/>
      <c r="G10" s="11" t="n">
        <v>17</v>
      </c>
      <c r="H10" s="12" t="n">
        <v>0.18</v>
      </c>
      <c r="I10" s="10" t="n">
        <v>3.3</v>
      </c>
      <c r="J10" s="15" t="n">
        <v>46298</v>
      </c>
    </row>
  </sheetData>
  <autoFilter ref="A4:J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30" hidden="false" customHeight="true" outlineLevel="0" collapsed="false">
      <c r="A4" s="9" t="s">
        <v>167</v>
      </c>
      <c r="B4" s="9" t="s">
        <v>219</v>
      </c>
      <c r="C4" s="9" t="s">
        <v>220</v>
      </c>
      <c r="D4" s="9" t="s">
        <v>221</v>
      </c>
      <c r="E4" s="9" t="s">
        <v>222</v>
      </c>
      <c r="F4" s="9" t="s">
        <v>223</v>
      </c>
      <c r="G4" s="9" t="s">
        <v>224</v>
      </c>
      <c r="H4" s="9" t="s">
        <v>225</v>
      </c>
      <c r="I4" s="9" t="s">
        <v>226</v>
      </c>
    </row>
    <row r="5" customFormat="false" ht="15" hidden="false" customHeight="false" outlineLevel="0" collapsed="false">
      <c r="A5" s="4" t="s">
        <v>119</v>
      </c>
      <c r="B5" s="11" t="n">
        <v>5</v>
      </c>
      <c r="C5" s="10" t="n">
        <v>2.9</v>
      </c>
      <c r="D5" s="10" t="n">
        <v>2.6</v>
      </c>
      <c r="E5" s="19" t="n">
        <f aca="false">IF(AND(ISNUMBER(C5),ISNUMBER(D5)),C5-D5,"")</f>
        <v>0.3</v>
      </c>
      <c r="F5" s="10" t="n">
        <f aca="false">SUMIFS(Activities!$F$2:$F$190,Activities!$K$2:$K$190,$A5)/60</f>
        <v>32.4166666666667</v>
      </c>
      <c r="G5" s="11" t="n">
        <f aca="false">COUNTIFS(Activities!$K$2:$K$190,$A5)</f>
        <v>28</v>
      </c>
      <c r="H5" s="11" t="n">
        <f aca="false">COUNTIFS(Activities!$K$2:$K$190,$A5,Activities!$I$2:$I$190,"&lt;&gt;")</f>
        <v>12</v>
      </c>
      <c r="I5" s="11" t="n">
        <f aca="false">COUNTIFS(Assessments!$A$2:$A$10,$A5)</f>
        <v>3</v>
      </c>
    </row>
    <row r="6" customFormat="false" ht="15" hidden="false" customHeight="false" outlineLevel="0" collapsed="false">
      <c r="A6" s="4" t="s">
        <v>136</v>
      </c>
      <c r="B6" s="11" t="n">
        <v>5</v>
      </c>
      <c r="C6" s="10" t="n">
        <v>2.3</v>
      </c>
      <c r="D6" s="10" t="n">
        <v>2.2</v>
      </c>
      <c r="E6" s="19" t="n">
        <f aca="false">IF(AND(ISNUMBER(C6),ISNUMBER(D6)),C6-D6,"")</f>
        <v>0.0999999999999996</v>
      </c>
      <c r="F6" s="10" t="n">
        <f aca="false">SUMIFS(Activities!$F$2:$F$190,Activities!$K$2:$K$190,$A6)/60</f>
        <v>34.8666666666667</v>
      </c>
      <c r="G6" s="11" t="n">
        <f aca="false">COUNTIFS(Activities!$K$2:$K$190,$A6)</f>
        <v>13</v>
      </c>
      <c r="H6" s="11" t="n">
        <f aca="false">COUNTIFS(Activities!$K$2:$K$190,$A6,Activities!$I$2:$I$190,"&lt;&gt;")</f>
        <v>4</v>
      </c>
      <c r="I6" s="11" t="n">
        <f aca="false">COUNTIFS(Assessments!$A$2:$A$10,$A6)</f>
        <v>3</v>
      </c>
    </row>
    <row r="7" customFormat="false" ht="15" hidden="false" customHeight="false" outlineLevel="0" collapsed="false">
      <c r="A7" s="4" t="s">
        <v>170</v>
      </c>
      <c r="B7" s="11" t="n">
        <v>5</v>
      </c>
      <c r="C7" s="10" t="n">
        <v>3.3</v>
      </c>
      <c r="D7" s="10" t="n">
        <v>2.7</v>
      </c>
      <c r="E7" s="19" t="n">
        <f aca="false">IF(AND(ISNUMBER(C7),ISNUMBER(D7)),C7-D7,"")</f>
        <v>0.6</v>
      </c>
      <c r="F7" s="10" t="n">
        <f aca="false">SUMIFS(Activities!$F$2:$F$190,Activities!$K$2:$K$190,$A7)/60</f>
        <v>9.8</v>
      </c>
      <c r="G7" s="11" t="n">
        <f aca="false">COUNTIFS(Activities!$K$2:$K$190,$A7)</f>
        <v>10</v>
      </c>
      <c r="H7" s="11" t="n">
        <f aca="false">COUNTIFS(Activities!$K$2:$K$190,$A7,Activities!$I$2:$I$190,"&lt;&gt;")</f>
        <v>6</v>
      </c>
      <c r="I7" s="11" t="n">
        <f aca="false">COUNTIFS(Assessments!$A$2:$A$10,$A7)</f>
        <v>3</v>
      </c>
    </row>
  </sheetData>
  <autoFilter ref="A4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0" hidden="false" customHeight="true" outlineLevel="0" collapsed="false">
      <c r="A1" s="9" t="s">
        <v>167</v>
      </c>
      <c r="B1" s="9" t="s">
        <v>51</v>
      </c>
      <c r="C1" s="9" t="s">
        <v>227</v>
      </c>
      <c r="D1" s="9" t="s">
        <v>228</v>
      </c>
      <c r="E1" s="9" t="s">
        <v>229</v>
      </c>
      <c r="F1" s="9" t="s">
        <v>230</v>
      </c>
      <c r="G1" s="9" t="s">
        <v>231</v>
      </c>
    </row>
    <row r="2" customFormat="false" ht="15" hidden="false" customHeight="false" outlineLevel="0" collapsed="false">
      <c r="A2" s="4" t="s">
        <v>119</v>
      </c>
      <c r="B2" s="15" t="n">
        <v>46222</v>
      </c>
      <c r="C2" s="10" t="n">
        <v>2.6</v>
      </c>
      <c r="D2" s="11" t="n">
        <v>61</v>
      </c>
      <c r="E2" s="4" t="s">
        <v>232</v>
      </c>
      <c r="F2" s="17" t="s">
        <v>233</v>
      </c>
      <c r="G2" s="17"/>
    </row>
    <row r="3" customFormat="false" ht="15" hidden="false" customHeight="false" outlineLevel="0" collapsed="false">
      <c r="A3" s="4" t="s">
        <v>119</v>
      </c>
      <c r="B3" s="15" t="n">
        <v>46252</v>
      </c>
      <c r="C3" s="10" t="n">
        <v>2.8</v>
      </c>
      <c r="D3" s="11" t="n">
        <v>56</v>
      </c>
      <c r="E3" s="4" t="s">
        <v>234</v>
      </c>
      <c r="F3" s="17" t="s">
        <v>233</v>
      </c>
      <c r="G3" s="17"/>
    </row>
    <row r="4" customFormat="false" ht="15" hidden="false" customHeight="false" outlineLevel="0" collapsed="false">
      <c r="A4" s="4" t="s">
        <v>119</v>
      </c>
      <c r="B4" s="15" t="n">
        <v>46282</v>
      </c>
      <c r="C4" s="10" t="n">
        <v>2.9</v>
      </c>
      <c r="D4" s="11" t="n">
        <v>58</v>
      </c>
      <c r="E4" s="4" t="s">
        <v>232</v>
      </c>
      <c r="F4" s="17" t="s">
        <v>233</v>
      </c>
      <c r="G4" s="17"/>
    </row>
    <row r="5" customFormat="false" ht="15" hidden="false" customHeight="false" outlineLevel="0" collapsed="false">
      <c r="A5" s="4" t="s">
        <v>136</v>
      </c>
      <c r="B5" s="15" t="n">
        <v>46222</v>
      </c>
      <c r="C5" s="10" t="n">
        <v>2.2</v>
      </c>
      <c r="D5" s="11" t="n">
        <v>43</v>
      </c>
      <c r="E5" s="4" t="s">
        <v>234</v>
      </c>
      <c r="F5" s="17" t="s">
        <v>235</v>
      </c>
      <c r="G5" s="17"/>
    </row>
    <row r="6" customFormat="false" ht="15" hidden="false" customHeight="false" outlineLevel="0" collapsed="false">
      <c r="A6" s="4" t="s">
        <v>136</v>
      </c>
      <c r="B6" s="15" t="n">
        <v>46252</v>
      </c>
      <c r="C6" s="10" t="n">
        <v>2.3</v>
      </c>
      <c r="D6" s="11" t="n">
        <v>38</v>
      </c>
      <c r="E6" s="4" t="s">
        <v>236</v>
      </c>
      <c r="F6" s="17" t="s">
        <v>235</v>
      </c>
      <c r="G6" s="17"/>
    </row>
    <row r="7" customFormat="false" ht="15" hidden="false" customHeight="false" outlineLevel="0" collapsed="false">
      <c r="A7" s="4" t="s">
        <v>136</v>
      </c>
      <c r="B7" s="15" t="n">
        <v>46282</v>
      </c>
      <c r="C7" s="10" t="n">
        <v>2.3</v>
      </c>
      <c r="D7" s="11" t="n">
        <v>44</v>
      </c>
      <c r="E7" s="4" t="s">
        <v>234</v>
      </c>
      <c r="F7" s="17" t="s">
        <v>235</v>
      </c>
      <c r="G7" s="17"/>
    </row>
    <row r="8" customFormat="false" ht="15" hidden="false" customHeight="false" outlineLevel="0" collapsed="false">
      <c r="A8" s="4" t="s">
        <v>170</v>
      </c>
      <c r="B8" s="15" t="n">
        <v>46222</v>
      </c>
      <c r="C8" s="10" t="n">
        <v>2.7</v>
      </c>
      <c r="D8" s="11" t="n">
        <v>48</v>
      </c>
      <c r="E8" s="4" t="s">
        <v>234</v>
      </c>
      <c r="F8" s="17" t="s">
        <v>237</v>
      </c>
      <c r="G8" s="17"/>
    </row>
    <row r="9" customFormat="false" ht="15" hidden="false" customHeight="false" outlineLevel="0" collapsed="false">
      <c r="A9" s="4" t="s">
        <v>170</v>
      </c>
      <c r="B9" s="15" t="n">
        <v>46252</v>
      </c>
      <c r="C9" s="10" t="n">
        <v>3</v>
      </c>
      <c r="D9" s="11" t="n">
        <v>53</v>
      </c>
      <c r="E9" s="4" t="s">
        <v>232</v>
      </c>
      <c r="F9" s="17" t="s">
        <v>237</v>
      </c>
      <c r="G9" s="17"/>
    </row>
    <row r="10" customFormat="false" ht="15" hidden="false" customHeight="false" outlineLevel="0" collapsed="false">
      <c r="A10" s="4" t="s">
        <v>170</v>
      </c>
      <c r="B10" s="15" t="n">
        <v>46282</v>
      </c>
      <c r="C10" s="10" t="n">
        <v>3.3</v>
      </c>
      <c r="D10" s="11" t="n">
        <v>61</v>
      </c>
      <c r="E10" s="4" t="s">
        <v>236</v>
      </c>
      <c r="F10" s="17" t="s">
        <v>237</v>
      </c>
      <c r="G10" s="17"/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1034"/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5" min="4" style="0" width="10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15" hidden="false" customHeight="false" outlineLevel="0" collapsed="false">
      <c r="A4" s="3" t="s">
        <v>240</v>
      </c>
    </row>
    <row r="5" customFormat="false" ht="15" hidden="false" customHeight="false" outlineLevel="0" collapsed="false">
      <c r="A5" s="2" t="s">
        <v>241</v>
      </c>
    </row>
    <row r="6" customFormat="false" ht="30" hidden="false" customHeight="true" outlineLevel="0" collapsed="false">
      <c r="A6" s="9" t="s">
        <v>242</v>
      </c>
      <c r="B6" s="9" t="s">
        <v>243</v>
      </c>
      <c r="C6" s="9" t="s">
        <v>244</v>
      </c>
      <c r="D6" s="9" t="s">
        <v>245</v>
      </c>
      <c r="E6" s="9" t="s">
        <v>246</v>
      </c>
      <c r="F6" s="9" t="s">
        <v>193</v>
      </c>
    </row>
    <row r="7" customFormat="false" ht="35.05" hidden="false" customHeight="false" outlineLevel="0" collapsed="false">
      <c r="A7" s="4" t="s">
        <v>247</v>
      </c>
      <c r="B7" s="4" t="s">
        <v>248</v>
      </c>
      <c r="C7" s="10" t="n">
        <v>1.9</v>
      </c>
      <c r="D7" s="10" t="n">
        <v>20.6</v>
      </c>
      <c r="E7" s="20" t="n">
        <v>0.0331</v>
      </c>
      <c r="F7" s="17" t="s">
        <v>249</v>
      </c>
    </row>
    <row r="8" customFormat="false" ht="35.05" hidden="false" customHeight="false" outlineLevel="0" collapsed="false">
      <c r="A8" s="4" t="s">
        <v>250</v>
      </c>
      <c r="B8" s="4" t="s">
        <v>248</v>
      </c>
      <c r="C8" s="10" t="n">
        <v>11.5</v>
      </c>
      <c r="D8" s="10" t="n">
        <v>47.5</v>
      </c>
      <c r="E8" s="20" t="n">
        <v>0.0949</v>
      </c>
      <c r="F8" s="17" t="s">
        <v>251</v>
      </c>
    </row>
    <row r="11" customFormat="false" ht="15" hidden="false" customHeight="false" outlineLevel="0" collapsed="false">
      <c r="A11" s="3" t="s">
        <v>252</v>
      </c>
    </row>
    <row r="12" customFormat="false" ht="15" hidden="false" customHeight="false" outlineLevel="0" collapsed="false">
      <c r="A12" s="2" t="s">
        <v>253</v>
      </c>
    </row>
    <row r="13" customFormat="false" ht="30" hidden="false" customHeight="true" outlineLevel="0" collapsed="false">
      <c r="A13" s="9" t="s">
        <v>254</v>
      </c>
      <c r="B13" s="9" t="s">
        <v>255</v>
      </c>
      <c r="C13" s="9" t="s">
        <v>256</v>
      </c>
      <c r="D13" s="9" t="s">
        <v>257</v>
      </c>
      <c r="E13" s="9" t="s">
        <v>258</v>
      </c>
      <c r="F13" s="9" t="s">
        <v>193</v>
      </c>
    </row>
    <row r="14" customFormat="false" ht="15" hidden="false" customHeight="false" outlineLevel="0" collapsed="false">
      <c r="A14" s="4" t="s">
        <v>68</v>
      </c>
      <c r="B14" s="4" t="s">
        <v>69</v>
      </c>
      <c r="C14" s="21" t="n">
        <v>0.381</v>
      </c>
      <c r="D14" s="11" t="n">
        <v>82</v>
      </c>
      <c r="E14" s="20" t="n">
        <v>0.0177</v>
      </c>
      <c r="F14" s="4" t="s">
        <v>259</v>
      </c>
    </row>
    <row r="15" customFormat="false" ht="15" hidden="false" customHeight="false" outlineLevel="0" collapsed="false">
      <c r="A15" s="4" t="s">
        <v>260</v>
      </c>
      <c r="B15" s="4" t="s">
        <v>9</v>
      </c>
      <c r="C15" s="21" t="n">
        <v>-0.348</v>
      </c>
      <c r="D15" s="11" t="n">
        <v>80</v>
      </c>
      <c r="E15" s="20" t="n">
        <v>0.033</v>
      </c>
      <c r="F15" s="4" t="s">
        <v>259</v>
      </c>
    </row>
    <row r="16" customFormat="false" ht="15" hidden="false" customHeight="false" outlineLevel="0" collapsed="false">
      <c r="A16" s="4" t="s">
        <v>260</v>
      </c>
      <c r="B16" s="4" t="s">
        <v>69</v>
      </c>
      <c r="C16" s="21" t="n">
        <v>-0.288</v>
      </c>
      <c r="D16" s="11" t="n">
        <v>82</v>
      </c>
      <c r="E16" s="20" t="n">
        <v>0.123</v>
      </c>
      <c r="F16" s="4" t="s">
        <v>261</v>
      </c>
    </row>
    <row r="17" customFormat="false" ht="15" hidden="false" customHeight="false" outlineLevel="0" collapsed="false">
      <c r="A17" s="4" t="s">
        <v>67</v>
      </c>
      <c r="B17" s="4" t="s">
        <v>69</v>
      </c>
      <c r="C17" s="21" t="n">
        <v>0.25</v>
      </c>
      <c r="D17" s="11" t="n">
        <v>82</v>
      </c>
      <c r="E17" s="20" t="n">
        <v>0.2013</v>
      </c>
      <c r="F17" s="4" t="s">
        <v>261</v>
      </c>
    </row>
    <row r="18" customFormat="false" ht="15" hidden="false" customHeight="false" outlineLevel="0" collapsed="false">
      <c r="A18" s="4" t="s">
        <v>65</v>
      </c>
      <c r="B18" s="4" t="s">
        <v>69</v>
      </c>
      <c r="C18" s="21" t="n">
        <v>0.244</v>
      </c>
      <c r="D18" s="11" t="n">
        <v>82</v>
      </c>
      <c r="E18" s="20" t="n">
        <v>0.2013</v>
      </c>
      <c r="F18" s="4" t="s">
        <v>261</v>
      </c>
    </row>
    <row r="19" customFormat="false" ht="15" hidden="false" customHeight="false" outlineLevel="0" collapsed="false">
      <c r="A19" s="4" t="s">
        <v>68</v>
      </c>
      <c r="B19" s="4" t="s">
        <v>262</v>
      </c>
      <c r="C19" s="21" t="n">
        <v>0.242</v>
      </c>
      <c r="D19" s="11" t="n">
        <v>82</v>
      </c>
      <c r="E19" s="20" t="n">
        <v>0.2013</v>
      </c>
      <c r="F19" s="4" t="s">
        <v>261</v>
      </c>
    </row>
    <row r="20" customFormat="false" ht="15" hidden="false" customHeight="false" outlineLevel="0" collapsed="false">
      <c r="A20" s="4" t="s">
        <v>68</v>
      </c>
      <c r="B20" s="4" t="s">
        <v>9</v>
      </c>
      <c r="C20" s="21" t="n">
        <v>0.23</v>
      </c>
      <c r="D20" s="11" t="n">
        <v>80</v>
      </c>
      <c r="E20" s="20" t="n">
        <v>0.2434</v>
      </c>
      <c r="F20" s="4" t="s">
        <v>261</v>
      </c>
    </row>
    <row r="21" customFormat="false" ht="15" hidden="false" customHeight="false" outlineLevel="0" collapsed="false">
      <c r="A21" s="4" t="s">
        <v>263</v>
      </c>
      <c r="B21" s="4" t="s">
        <v>9</v>
      </c>
      <c r="C21" s="21" t="n">
        <v>0.222</v>
      </c>
      <c r="D21" s="11" t="n">
        <v>80</v>
      </c>
      <c r="E21" s="20" t="n">
        <v>0.2492</v>
      </c>
      <c r="F21" s="4" t="s">
        <v>261</v>
      </c>
    </row>
    <row r="22" customFormat="false" ht="15" hidden="false" customHeight="false" outlineLevel="0" collapsed="false">
      <c r="A22" s="4" t="s">
        <v>68</v>
      </c>
      <c r="B22" s="4" t="s">
        <v>57</v>
      </c>
      <c r="C22" s="21" t="n">
        <v>0.214</v>
      </c>
      <c r="D22" s="11" t="n">
        <v>82</v>
      </c>
      <c r="E22" s="20" t="n">
        <v>0.2492</v>
      </c>
      <c r="F22" s="4" t="s">
        <v>261</v>
      </c>
    </row>
    <row r="23" customFormat="false" ht="15" hidden="false" customHeight="false" outlineLevel="0" collapsed="false">
      <c r="A23" s="4" t="s">
        <v>70</v>
      </c>
      <c r="B23" s="4" t="s">
        <v>69</v>
      </c>
      <c r="C23" s="21" t="n">
        <v>-0.188</v>
      </c>
      <c r="D23" s="11" t="n">
        <v>82</v>
      </c>
      <c r="E23" s="20" t="n">
        <v>0.3733</v>
      </c>
      <c r="F23" s="4" t="s">
        <v>261</v>
      </c>
    </row>
    <row r="24" customFormat="false" ht="15" hidden="false" customHeight="false" outlineLevel="0" collapsed="false">
      <c r="A24" s="4" t="s">
        <v>264</v>
      </c>
      <c r="B24" s="4" t="s">
        <v>265</v>
      </c>
      <c r="C24" s="21" t="n">
        <v>-0.177</v>
      </c>
      <c r="D24" s="11" t="n">
        <v>82</v>
      </c>
      <c r="E24" s="20" t="n">
        <v>0.3733</v>
      </c>
      <c r="F24" s="4" t="s">
        <v>261</v>
      </c>
    </row>
    <row r="25" customFormat="false" ht="15" hidden="false" customHeight="false" outlineLevel="0" collapsed="false">
      <c r="A25" s="4" t="s">
        <v>263</v>
      </c>
      <c r="B25" s="4" t="s">
        <v>57</v>
      </c>
      <c r="C25" s="21" t="n">
        <v>0.177</v>
      </c>
      <c r="D25" s="11" t="n">
        <v>82</v>
      </c>
      <c r="E25" s="20" t="n">
        <v>0.3733</v>
      </c>
      <c r="F25" s="4" t="s">
        <v>261</v>
      </c>
    </row>
    <row r="26" customFormat="false" ht="15" hidden="false" customHeight="false" outlineLevel="0" collapsed="false">
      <c r="A26" s="4" t="s">
        <v>264</v>
      </c>
      <c r="B26" s="4" t="s">
        <v>262</v>
      </c>
      <c r="C26" s="21" t="n">
        <v>-0.175</v>
      </c>
      <c r="D26" s="11" t="n">
        <v>82</v>
      </c>
      <c r="E26" s="20" t="n">
        <v>0.3733</v>
      </c>
      <c r="F26" s="4" t="s">
        <v>261</v>
      </c>
    </row>
    <row r="27" customFormat="false" ht="15" hidden="false" customHeight="false" outlineLevel="0" collapsed="false">
      <c r="A27" s="4" t="s">
        <v>72</v>
      </c>
      <c r="B27" s="4" t="s">
        <v>9</v>
      </c>
      <c r="C27" s="21" t="n">
        <v>-0.166</v>
      </c>
      <c r="D27" s="11" t="n">
        <v>80</v>
      </c>
      <c r="E27" s="20" t="n">
        <v>0.4208</v>
      </c>
      <c r="F27" s="4" t="s">
        <v>261</v>
      </c>
    </row>
    <row r="28" customFormat="false" ht="15" hidden="false" customHeight="false" outlineLevel="0" collapsed="false">
      <c r="A28" s="4" t="s">
        <v>72</v>
      </c>
      <c r="B28" s="4" t="s">
        <v>262</v>
      </c>
      <c r="C28" s="21" t="n">
        <v>-0.159</v>
      </c>
      <c r="D28" s="11" t="n">
        <v>82</v>
      </c>
      <c r="E28" s="20" t="n">
        <v>0.4301</v>
      </c>
      <c r="F28" s="4" t="s">
        <v>261</v>
      </c>
    </row>
    <row r="29" customFormat="false" ht="15" hidden="false" customHeight="false" outlineLevel="0" collapsed="false">
      <c r="A29" s="4" t="s">
        <v>67</v>
      </c>
      <c r="B29" s="4" t="s">
        <v>9</v>
      </c>
      <c r="C29" s="21" t="n">
        <v>0.143</v>
      </c>
      <c r="D29" s="11" t="n">
        <v>80</v>
      </c>
      <c r="E29" s="20" t="n">
        <v>0.4596</v>
      </c>
      <c r="F29" s="4" t="s">
        <v>261</v>
      </c>
    </row>
    <row r="30" customFormat="false" ht="15" hidden="false" customHeight="false" outlineLevel="0" collapsed="false">
      <c r="A30" s="4" t="s">
        <v>72</v>
      </c>
      <c r="B30" s="4" t="s">
        <v>69</v>
      </c>
      <c r="C30" s="21" t="n">
        <v>-0.142</v>
      </c>
      <c r="D30" s="11" t="n">
        <v>82</v>
      </c>
      <c r="E30" s="20" t="n">
        <v>0.4596</v>
      </c>
      <c r="F30" s="4" t="s">
        <v>261</v>
      </c>
    </row>
    <row r="31" customFormat="false" ht="15" hidden="false" customHeight="false" outlineLevel="0" collapsed="false">
      <c r="A31" s="4" t="s">
        <v>67</v>
      </c>
      <c r="B31" s="4" t="s">
        <v>57</v>
      </c>
      <c r="C31" s="21" t="n">
        <v>0.141</v>
      </c>
      <c r="D31" s="11" t="n">
        <v>82</v>
      </c>
      <c r="E31" s="20" t="n">
        <v>0.4596</v>
      </c>
      <c r="F31" s="4" t="s">
        <v>261</v>
      </c>
    </row>
    <row r="32" customFormat="false" ht="15" hidden="false" customHeight="false" outlineLevel="0" collapsed="false">
      <c r="A32" s="4" t="s">
        <v>264</v>
      </c>
      <c r="B32" s="4" t="s">
        <v>57</v>
      </c>
      <c r="C32" s="21" t="n">
        <v>-0.141</v>
      </c>
      <c r="D32" s="11" t="n">
        <v>82</v>
      </c>
      <c r="E32" s="20" t="n">
        <v>0.4596</v>
      </c>
      <c r="F32" s="4" t="s">
        <v>261</v>
      </c>
    </row>
    <row r="33" customFormat="false" ht="15" hidden="false" customHeight="false" outlineLevel="0" collapsed="false">
      <c r="A33" s="4" t="s">
        <v>263</v>
      </c>
      <c r="B33" s="4" t="s">
        <v>265</v>
      </c>
      <c r="C33" s="21" t="n">
        <v>-0.135</v>
      </c>
      <c r="D33" s="11" t="n">
        <v>82</v>
      </c>
      <c r="E33" s="20" t="n">
        <v>0.4781</v>
      </c>
      <c r="F33" s="4" t="s">
        <v>261</v>
      </c>
    </row>
    <row r="36" customFormat="false" ht="15" hidden="false" customHeight="false" outlineLevel="0" collapsed="false">
      <c r="A36" s="3" t="s">
        <v>266</v>
      </c>
    </row>
    <row r="37" customFormat="false" ht="15" hidden="false" customHeight="false" outlineLevel="0" collapsed="false">
      <c r="A37" s="2" t="s">
        <v>267</v>
      </c>
    </row>
    <row r="38" customFormat="false" ht="30" hidden="false" customHeight="true" outlineLevel="0" collapsed="false">
      <c r="A38" s="9" t="s">
        <v>51</v>
      </c>
      <c r="B38" s="9" t="s">
        <v>242</v>
      </c>
      <c r="C38" s="9" t="s">
        <v>268</v>
      </c>
      <c r="D38" s="9" t="s">
        <v>269</v>
      </c>
      <c r="E38" s="9" t="s">
        <v>270</v>
      </c>
      <c r="F38" s="9" t="s">
        <v>243</v>
      </c>
    </row>
    <row r="39" customFormat="false" ht="15" hidden="false" customHeight="false" outlineLevel="0" collapsed="false">
      <c r="A39" s="15" t="n">
        <v>46311</v>
      </c>
      <c r="B39" s="4" t="s">
        <v>69</v>
      </c>
      <c r="C39" s="10" t="n">
        <v>5</v>
      </c>
      <c r="D39" s="10" t="n">
        <v>3</v>
      </c>
      <c r="E39" s="10" t="n">
        <v>3.46</v>
      </c>
      <c r="F39" s="4" t="s">
        <v>271</v>
      </c>
    </row>
    <row r="40" customFormat="false" ht="15" hidden="false" customHeight="false" outlineLevel="0" collapsed="false">
      <c r="A40" s="15" t="n">
        <v>46240</v>
      </c>
      <c r="B40" s="4" t="s">
        <v>57</v>
      </c>
      <c r="C40" s="10" t="n">
        <v>326</v>
      </c>
      <c r="D40" s="10" t="n">
        <v>76.5</v>
      </c>
      <c r="E40" s="10" t="n">
        <v>3.66</v>
      </c>
      <c r="F40" s="4" t="s">
        <v>271</v>
      </c>
    </row>
    <row r="41" customFormat="false" ht="15" hidden="false" customHeight="false" outlineLevel="0" collapsed="false">
      <c r="A41" s="15" t="n">
        <v>46239</v>
      </c>
      <c r="B41" s="4" t="s">
        <v>57</v>
      </c>
      <c r="C41" s="10" t="n">
        <v>337</v>
      </c>
      <c r="D41" s="10" t="n">
        <v>54</v>
      </c>
      <c r="E41" s="10" t="n">
        <v>4.15</v>
      </c>
      <c r="F41" s="4" t="s">
        <v>271</v>
      </c>
    </row>
    <row r="42" customFormat="false" ht="15" hidden="false" customHeight="false" outlineLevel="0" collapsed="false">
      <c r="A42" s="15" t="n">
        <v>46238</v>
      </c>
      <c r="B42" s="4" t="s">
        <v>57</v>
      </c>
      <c r="C42" s="10" t="n">
        <v>270</v>
      </c>
      <c r="D42" s="10" t="n">
        <v>52.5</v>
      </c>
      <c r="E42" s="10" t="n">
        <v>3.19</v>
      </c>
      <c r="F42" s="4" t="s">
        <v>271</v>
      </c>
    </row>
    <row r="43" customFormat="false" ht="15" hidden="false" customHeight="false" outlineLevel="0" collapsed="false">
      <c r="A43" s="15" t="n">
        <v>46237</v>
      </c>
      <c r="B43" s="4" t="s">
        <v>272</v>
      </c>
      <c r="C43" s="10" t="n">
        <v>291</v>
      </c>
      <c r="D43" s="10" t="n">
        <v>164</v>
      </c>
      <c r="E43" s="10" t="n">
        <v>3.19</v>
      </c>
      <c r="F43" s="4" t="s">
        <v>271</v>
      </c>
    </row>
    <row r="46" customFormat="false" ht="15" hidden="false" customHeight="false" outlineLevel="0" collapsed="false">
      <c r="A46" s="3" t="s">
        <v>273</v>
      </c>
    </row>
    <row r="47" customFormat="false" ht="15" hidden="false" customHeight="false" outlineLevel="0" collapsed="false">
      <c r="A47" s="2" t="s">
        <v>274</v>
      </c>
    </row>
    <row r="48" customFormat="false" ht="30" hidden="false" customHeight="true" outlineLevel="0" collapsed="false">
      <c r="A48" s="9" t="s">
        <v>6</v>
      </c>
      <c r="B48" s="9" t="s">
        <v>275</v>
      </c>
      <c r="C48" s="9" t="s">
        <v>257</v>
      </c>
    </row>
    <row r="49" customFormat="false" ht="15" hidden="false" customHeight="false" outlineLevel="0" collapsed="false">
      <c r="A49" s="4" t="s">
        <v>276</v>
      </c>
      <c r="B49" s="12" t="n">
        <v>0.54</v>
      </c>
      <c r="C49" s="11" t="n">
        <v>26</v>
      </c>
    </row>
    <row r="50" customFormat="false" ht="15" hidden="false" customHeight="false" outlineLevel="0" collapsed="false">
      <c r="A50" s="4" t="s">
        <v>277</v>
      </c>
      <c r="B50" s="12" t="n">
        <v>0.57</v>
      </c>
      <c r="C50" s="11" t="n">
        <v>17</v>
      </c>
    </row>
    <row r="51" customFormat="false" ht="15" hidden="false" customHeight="false" outlineLevel="0" collapsed="false">
      <c r="A51" s="4" t="s">
        <v>278</v>
      </c>
      <c r="B51" s="12" t="n">
        <v>0.49</v>
      </c>
      <c r="C51" s="11" t="n">
        <v>14</v>
      </c>
    </row>
    <row r="52" customFormat="false" ht="15" hidden="false" customHeight="false" outlineLevel="0" collapsed="false">
      <c r="A52" s="4" t="s">
        <v>279</v>
      </c>
      <c r="B52" s="12" t="n">
        <v>0.34</v>
      </c>
      <c r="C52" s="11" t="n">
        <v>23</v>
      </c>
    </row>
    <row r="55" customFormat="false" ht="15" hidden="false" customHeight="false" outlineLevel="0" collapsed="false">
      <c r="A55" s="3" t="s">
        <v>280</v>
      </c>
    </row>
    <row r="56" customFormat="false" ht="15" hidden="false" customHeight="false" outlineLevel="0" collapsed="false">
      <c r="A56" s="2" t="s">
        <v>281</v>
      </c>
    </row>
    <row r="57" customFormat="false" ht="30" hidden="false" customHeight="true" outlineLevel="0" collapsed="false">
      <c r="A57" s="9" t="s">
        <v>282</v>
      </c>
      <c r="B57" s="9" t="s">
        <v>283</v>
      </c>
      <c r="C57" s="9" t="s">
        <v>284</v>
      </c>
    </row>
    <row r="58" customFormat="false" ht="23.85" hidden="false" customHeight="false" outlineLevel="0" collapsed="false">
      <c r="A58" s="4" t="s">
        <v>285</v>
      </c>
      <c r="B58" s="17" t="s">
        <v>286</v>
      </c>
      <c r="C58" s="17" t="s">
        <v>287</v>
      </c>
    </row>
    <row r="59" customFormat="false" ht="23.85" hidden="false" customHeight="false" outlineLevel="0" collapsed="false">
      <c r="A59" s="4" t="s">
        <v>288</v>
      </c>
      <c r="B59" s="17" t="s">
        <v>289</v>
      </c>
      <c r="C59" s="17" t="s">
        <v>290</v>
      </c>
    </row>
    <row r="60" customFormat="false" ht="23.85" hidden="false" customHeight="false" outlineLevel="0" collapsed="false">
      <c r="A60" s="4" t="s">
        <v>291</v>
      </c>
      <c r="B60" s="17" t="s">
        <v>292</v>
      </c>
      <c r="C60" s="17" t="s">
        <v>290</v>
      </c>
    </row>
    <row r="61" customFormat="false" ht="23.85" hidden="false" customHeight="false" outlineLevel="0" collapsed="false">
      <c r="A61" s="4" t="s">
        <v>293</v>
      </c>
      <c r="B61" s="17" t="s">
        <v>249</v>
      </c>
      <c r="C61" s="17" t="s">
        <v>294</v>
      </c>
    </row>
    <row r="62" customFormat="false" ht="23.85" hidden="false" customHeight="false" outlineLevel="0" collapsed="false">
      <c r="A62" s="4" t="s">
        <v>295</v>
      </c>
      <c r="B62" s="17" t="s">
        <v>251</v>
      </c>
      <c r="C62" s="17" t="s">
        <v>294</v>
      </c>
    </row>
    <row r="63" customFormat="false" ht="23.85" hidden="false" customHeight="false" outlineLevel="0" collapsed="false">
      <c r="A63" s="4" t="s">
        <v>296</v>
      </c>
      <c r="B63" s="17" t="s">
        <v>297</v>
      </c>
      <c r="C63" s="17" t="s">
        <v>287</v>
      </c>
    </row>
    <row r="64" customFormat="false" ht="23.85" hidden="false" customHeight="false" outlineLevel="0" collapsed="false">
      <c r="A64" s="4" t="s">
        <v>298</v>
      </c>
      <c r="B64" s="17" t="s">
        <v>299</v>
      </c>
      <c r="C64" s="17" t="s">
        <v>287</v>
      </c>
    </row>
    <row r="65" customFormat="false" ht="23.85" hidden="false" customHeight="false" outlineLevel="0" collapsed="false">
      <c r="A65" s="4" t="s">
        <v>300</v>
      </c>
      <c r="B65" s="17" t="s">
        <v>301</v>
      </c>
      <c r="C65" s="17" t="s">
        <v>302</v>
      </c>
    </row>
    <row r="66" customFormat="false" ht="23.85" hidden="false" customHeight="false" outlineLevel="0" collapsed="false">
      <c r="A66" s="4" t="s">
        <v>303</v>
      </c>
      <c r="B66" s="17" t="s">
        <v>304</v>
      </c>
      <c r="C66" s="17" t="s">
        <v>302</v>
      </c>
    </row>
    <row r="67" customFormat="false" ht="15" hidden="false" customHeight="false" outlineLevel="0" collapsed="false">
      <c r="A67" s="4" t="s">
        <v>305</v>
      </c>
      <c r="B67" s="17" t="s">
        <v>306</v>
      </c>
      <c r="C67" s="17" t="s">
        <v>307</v>
      </c>
    </row>
    <row r="68" customFormat="false" ht="15" hidden="false" customHeight="false" outlineLevel="0" collapsed="false">
      <c r="A68" s="4" t="s">
        <v>308</v>
      </c>
      <c r="B68" s="17" t="s">
        <v>309</v>
      </c>
      <c r="C68" s="17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6" min="5" style="0" width="2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9" t="s">
        <v>51</v>
      </c>
      <c r="B1" s="9" t="s">
        <v>311</v>
      </c>
      <c r="C1" s="9" t="s">
        <v>312</v>
      </c>
      <c r="D1" s="9" t="s">
        <v>313</v>
      </c>
      <c r="E1" s="9" t="s">
        <v>314</v>
      </c>
      <c r="F1" s="9" t="s">
        <v>315</v>
      </c>
      <c r="G1" s="9" t="s">
        <v>316</v>
      </c>
      <c r="H1" s="9" t="s">
        <v>317</v>
      </c>
      <c r="I1" s="9" t="s">
        <v>113</v>
      </c>
      <c r="J1" s="9" t="s">
        <v>318</v>
      </c>
      <c r="K1" s="9" t="s">
        <v>319</v>
      </c>
    </row>
    <row r="2" customFormat="false" ht="23.85" hidden="false" customHeight="false" outlineLevel="0" collapsed="false">
      <c r="A2" s="15" t="n">
        <v>46242</v>
      </c>
      <c r="B2" s="17" t="s">
        <v>320</v>
      </c>
      <c r="C2" s="17" t="s">
        <v>321</v>
      </c>
      <c r="D2" s="17" t="s">
        <v>322</v>
      </c>
      <c r="E2" s="17" t="s">
        <v>323</v>
      </c>
      <c r="F2" s="17" t="s">
        <v>324</v>
      </c>
      <c r="G2" s="11" t="n">
        <v>4</v>
      </c>
      <c r="H2" s="15" t="n">
        <v>46332</v>
      </c>
      <c r="I2" s="17" t="s">
        <v>325</v>
      </c>
      <c r="J2" s="11" t="n">
        <v>4</v>
      </c>
      <c r="K2" s="17" t="s">
        <v>326</v>
      </c>
    </row>
    <row r="3" customFormat="false" ht="15" hidden="false" customHeight="false" outlineLevel="0" collapsed="false">
      <c r="A3" s="15" t="n">
        <v>46301</v>
      </c>
      <c r="B3" s="17" t="s">
        <v>327</v>
      </c>
      <c r="C3" s="17"/>
      <c r="D3" s="17" t="s">
        <v>328</v>
      </c>
      <c r="E3" s="17"/>
      <c r="F3" s="17"/>
      <c r="G3" s="11" t="n">
        <v>3</v>
      </c>
      <c r="H3" s="15" t="n">
        <v>46331</v>
      </c>
      <c r="I3" s="17"/>
      <c r="J3" s="11"/>
      <c r="K3" s="17"/>
    </row>
  </sheetData>
  <autoFilter ref="A1:K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30" hidden="false" customHeight="true" outlineLevel="0" collapsed="false">
      <c r="A1" s="9" t="s">
        <v>329</v>
      </c>
      <c r="B1" s="9" t="s">
        <v>330</v>
      </c>
      <c r="C1" s="9" t="s">
        <v>90</v>
      </c>
      <c r="D1" s="9" t="s">
        <v>91</v>
      </c>
      <c r="E1" s="9" t="s">
        <v>242</v>
      </c>
      <c r="F1" s="9" t="s">
        <v>331</v>
      </c>
      <c r="G1" s="9" t="s">
        <v>332</v>
      </c>
      <c r="H1" s="9" t="s">
        <v>246</v>
      </c>
      <c r="I1" s="9" t="s">
        <v>193</v>
      </c>
    </row>
    <row r="2" customFormat="false" ht="23.85" hidden="false" customHeight="false" outlineLevel="0" collapsed="false">
      <c r="A2" s="17" t="s">
        <v>333</v>
      </c>
      <c r="B2" s="17" t="s">
        <v>334</v>
      </c>
      <c r="C2" s="15" t="n">
        <v>46281</v>
      </c>
      <c r="D2" s="15"/>
      <c r="E2" s="4" t="s">
        <v>9</v>
      </c>
      <c r="F2" s="18" t="n">
        <v>0.45</v>
      </c>
      <c r="G2" s="18" t="n">
        <v>0.48</v>
      </c>
      <c r="H2" s="21" t="n">
        <v>0.2807</v>
      </c>
      <c r="I2" s="17" t="s">
        <v>335</v>
      </c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</cols>
  <sheetData>
    <row r="1" customFormat="false" ht="30" hidden="false" customHeight="true" outlineLevel="0" collapsed="false">
      <c r="A1" s="9" t="s">
        <v>336</v>
      </c>
      <c r="B1" s="9" t="s">
        <v>337</v>
      </c>
      <c r="C1" s="9" t="s">
        <v>338</v>
      </c>
      <c r="D1" s="9" t="s">
        <v>339</v>
      </c>
      <c r="E1" s="9" t="s">
        <v>340</v>
      </c>
      <c r="F1" s="9" t="s">
        <v>341</v>
      </c>
      <c r="G1" s="9" t="s">
        <v>342</v>
      </c>
    </row>
    <row r="2" customFormat="false" ht="15" hidden="false" customHeight="false" outlineLevel="0" collapsed="false">
      <c r="A2" s="4" t="s">
        <v>343</v>
      </c>
      <c r="B2" s="4" t="s">
        <v>344</v>
      </c>
      <c r="C2" s="11" t="n">
        <v>3</v>
      </c>
      <c r="D2" s="11" t="n">
        <v>23</v>
      </c>
      <c r="E2" s="15" t="n">
        <v>46310</v>
      </c>
      <c r="F2" s="11" t="n">
        <f aca="true">IF(ISNUMBER(E2),TODAY()-E2,"")</f>
        <v>1</v>
      </c>
      <c r="G2" s="4" t="str">
        <f aca="false">IF(AND(ISNUMBER(C2),ISNUMBER(F2)),IF(F2&gt;C2,"Yes","No"),"")</f>
        <v>No</v>
      </c>
    </row>
    <row r="3" customFormat="false" ht="15" hidden="false" customHeight="false" outlineLevel="0" collapsed="false">
      <c r="A3" s="4" t="s">
        <v>345</v>
      </c>
      <c r="B3" s="4" t="s">
        <v>346</v>
      </c>
      <c r="C3" s="11" t="n">
        <v>30</v>
      </c>
      <c r="D3" s="11" t="n">
        <v>1</v>
      </c>
      <c r="E3" s="15" t="n">
        <v>46266</v>
      </c>
      <c r="F3" s="11" t="n">
        <f aca="true">IF(ISNUMBER(E3),TODAY()-E3,"")</f>
        <v>45</v>
      </c>
      <c r="G3" s="4" t="str">
        <f aca="false">IF(AND(ISNUMBER(C3),ISNUMBER(F3)),IF(F3&gt;C3,"Yes","No"),"")</f>
        <v>Yes</v>
      </c>
    </row>
  </sheetData>
  <autoFilter ref="A1:G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3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6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9" t="s">
        <v>51</v>
      </c>
      <c r="B1" s="9" t="s">
        <v>171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2026-10-16T10:20:12Z</dcterms:created>
  <dc:creator>openpyxl</dc:creator>
  <dc:description/>
  <dc:language>en-US</dc:language>
  <cp:lastModifiedBy/>
  <dcterms:modified xsi:type="dcterms:W3CDTF">2026-10-16T10:20:17Z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